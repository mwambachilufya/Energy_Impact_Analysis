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wambachilufya/Documents/"/>
    </mc:Choice>
  </mc:AlternateContent>
  <xr:revisionPtr revIDLastSave="0" documentId="13_ncr:1_{680C5FE2-F508-B548-80D9-2CBDD849A50A}" xr6:coauthVersionLast="36" xr6:coauthVersionMax="36" xr10:uidLastSave="{00000000-0000-0000-0000-000000000000}"/>
  <bookViews>
    <workbookView xWindow="0" yWindow="500" windowWidth="25600" windowHeight="14260" activeTab="1" xr2:uid="{FB4C8EB0-4729-0D45-9AAE-A78C9C2022C7}"/>
  </bookViews>
  <sheets>
    <sheet name="Original Data" sheetId="1" r:id="rId1"/>
    <sheet name="WorkingSheet" sheetId="4" r:id="rId2"/>
    <sheet name="Generation Sent out" sheetId="21" r:id="rId3"/>
    <sheet name="Copper Production" sheetId="22" r:id="rId4"/>
    <sheet name="Mining consumption" sheetId="23" r:id="rId5"/>
    <sheet name="Rainfall" sheetId="24" r:id="rId6"/>
    <sheet name="Regression Analysis" sheetId="5" r:id="rId7"/>
  </sheets>
  <definedNames>
    <definedName name="_xlnm._FilterDatabase" localSheetId="1" hidden="1">WorkingSheet!$A$1:$O$12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4" l="1"/>
  <c r="L12" i="24"/>
  <c r="L11" i="24"/>
  <c r="L10" i="24"/>
  <c r="L9" i="24"/>
  <c r="L8" i="24"/>
  <c r="L7" i="24"/>
  <c r="L6" i="24"/>
  <c r="L5" i="24"/>
  <c r="L4" i="24"/>
  <c r="L3" i="24"/>
  <c r="L2" i="24"/>
  <c r="L12" i="23"/>
  <c r="L11" i="23"/>
  <c r="L10" i="23"/>
  <c r="L9" i="23"/>
  <c r="L8" i="23"/>
  <c r="L7" i="23"/>
  <c r="L6" i="23"/>
  <c r="L5" i="23"/>
  <c r="L4" i="23"/>
  <c r="L3" i="23"/>
  <c r="L2" i="23"/>
  <c r="M12" i="22"/>
  <c r="M11" i="22"/>
  <c r="M10" i="22"/>
  <c r="M9" i="22"/>
  <c r="M8" i="22"/>
  <c r="M7" i="22"/>
  <c r="M6" i="22"/>
  <c r="M5" i="22"/>
  <c r="M4" i="22"/>
  <c r="M3" i="22"/>
  <c r="M2" i="22"/>
  <c r="L12" i="21"/>
  <c r="L11" i="21"/>
  <c r="L10" i="21"/>
  <c r="L9" i="21"/>
  <c r="L8" i="21"/>
  <c r="L7" i="21"/>
  <c r="L6" i="21"/>
  <c r="L5" i="21"/>
  <c r="L4" i="21"/>
  <c r="L3" i="21"/>
  <c r="L2" i="21"/>
  <c r="J2" i="24" l="1"/>
  <c r="I5" i="24"/>
  <c r="I6" i="24"/>
  <c r="I7" i="24"/>
  <c r="I8" i="24"/>
  <c r="I9" i="24"/>
  <c r="I10" i="24"/>
  <c r="I11" i="24"/>
  <c r="I12" i="24"/>
  <c r="I4" i="24"/>
  <c r="G4" i="24"/>
  <c r="G5" i="24"/>
  <c r="G6" i="24"/>
  <c r="G7" i="24"/>
  <c r="G8" i="24"/>
  <c r="G9" i="24"/>
  <c r="G10" i="24"/>
  <c r="G11" i="24"/>
  <c r="G12" i="24"/>
  <c r="G3" i="24"/>
  <c r="J2" i="23"/>
  <c r="I5" i="23"/>
  <c r="I6" i="23"/>
  <c r="I7" i="23"/>
  <c r="I8" i="23"/>
  <c r="I9" i="23"/>
  <c r="I10" i="23"/>
  <c r="I11" i="23"/>
  <c r="I12" i="23"/>
  <c r="I4" i="23"/>
  <c r="G4" i="23"/>
  <c r="G5" i="23"/>
  <c r="G6" i="23"/>
  <c r="G7" i="23"/>
  <c r="G8" i="23"/>
  <c r="G9" i="23"/>
  <c r="G10" i="23"/>
  <c r="G11" i="23"/>
  <c r="G12" i="23"/>
  <c r="G3" i="23"/>
  <c r="J2" i="21"/>
  <c r="I5" i="21"/>
  <c r="I6" i="21"/>
  <c r="I7" i="21"/>
  <c r="I8" i="21"/>
  <c r="I9" i="21"/>
  <c r="I10" i="21"/>
  <c r="I11" i="21"/>
  <c r="I12" i="21"/>
  <c r="I4" i="21"/>
  <c r="G4" i="21"/>
  <c r="G5" i="21"/>
  <c r="G6" i="21"/>
  <c r="G7" i="21"/>
  <c r="G8" i="21"/>
  <c r="G9" i="21"/>
  <c r="G10" i="21"/>
  <c r="G11" i="21"/>
  <c r="G12" i="21"/>
  <c r="G3" i="21"/>
  <c r="K2" i="22"/>
  <c r="J3" i="22"/>
  <c r="J4" i="22"/>
  <c r="J5" i="22"/>
  <c r="J6" i="22"/>
  <c r="J7" i="22"/>
  <c r="J8" i="22"/>
  <c r="J9" i="22"/>
  <c r="J10" i="22"/>
  <c r="J2" i="22"/>
  <c r="H4" i="22"/>
  <c r="H5" i="22"/>
  <c r="H6" i="22"/>
  <c r="H7" i="22"/>
  <c r="H8" i="22"/>
  <c r="H9" i="22"/>
  <c r="H10" i="22"/>
  <c r="H11" i="22"/>
  <c r="H12" i="22"/>
  <c r="H3" i="22"/>
</calcChain>
</file>

<file path=xl/sharedStrings.xml><?xml version="1.0" encoding="utf-8"?>
<sst xmlns="http://schemas.openxmlformats.org/spreadsheetml/2006/main" count="140" uniqueCount="60">
  <si>
    <t>YEAR</t>
  </si>
  <si>
    <t>MINING consumption(%)</t>
  </si>
  <si>
    <t>Mining electricity consumption(GWh)</t>
  </si>
  <si>
    <t>rain_mm</t>
  </si>
  <si>
    <t>temp_celsius</t>
  </si>
  <si>
    <t>GENERATION SENT OUT(GWh)</t>
  </si>
  <si>
    <t>Mining activities.(copper production 000's tonnes)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</si>
  <si>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</si>
  <si>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</si>
  <si>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</si>
  <si>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</si>
  <si>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</si>
  <si>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</si>
  <si>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</si>
  <si>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</si>
  <si>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</si>
  <si>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</si>
  <si>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</si>
  <si>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</si>
  <si>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</si>
  <si>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Year -on-Year Growth</t>
  </si>
  <si>
    <t xml:space="preserve">Moving Averages </t>
  </si>
  <si>
    <t>Overall CAGR</t>
  </si>
  <si>
    <t>Year-on Year Growth</t>
  </si>
  <si>
    <t>Year</t>
  </si>
  <si>
    <t>Moving Averages</t>
  </si>
  <si>
    <t>Year-on-Year Growth</t>
  </si>
  <si>
    <t>Moving averages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</si>
  <si>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</si>
  <si>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</si>
  <si>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</si>
  <si>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</si>
  <si>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</si>
  <si>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</si>
  <si>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</si>
  <si>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</si>
  <si>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</si>
  <si>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</si>
  <si>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</si>
  <si>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</si>
  <si>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</si>
  <si>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</si>
  <si>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</si>
  <si>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</si>
  <si>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</si>
  <si>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</si>
  <si>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</si>
  <si>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</si>
  <si>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</si>
  <si>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</si>
  <si>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</si>
  <si>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</si>
  <si>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</si>
  <si>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Mining activities.(copper production 000's tonnes)</t>
  </si>
  <si>
    <t>Residuals</t>
  </si>
  <si>
    <t>Z SCORE FOR GENERATION SENT OUT</t>
  </si>
  <si>
    <t>Z SCORE FOR COPPER PRODUCTION</t>
  </si>
  <si>
    <t>Z SCORES FOR ELECTRICITY CONSUMPTION</t>
  </si>
  <si>
    <t>Z SCORE FOR RAINFALL</t>
  </si>
  <si>
    <t>Correlation coefficient(mining activities and Electricity consumption)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</si>
</sst>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Continuous"/>
    </xf>
    <xf numFmtId="10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0" applyNumberFormat="1"/>
    <xf numFmtId="0" fontId="3" fillId="0" borderId="2" xfId="0" applyFont="1" applyFill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'Generation Sent out'!$E$1</c:f>
              <c:strCache>
                <c:ptCount val="1"/>
                <c:pt idx="0">
                  <c:v>GENERATION SENT OUT(GWh)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'Generation Sent out'!$D$2:$D$12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'Generation Sent out'!$E$2:$E$12</c:f>
              <c:numCache>
                <c:formatCode>#,##0</c:formatCode>
                <c:ptCount val="11"/>
                <c:pt idx="0">
                  <c:v>14443</c:v>
                </c:pt>
                <c:pt idx="1">
                  <c:v>13440</c:v>
                </c:pt>
                <c:pt idx="2" formatCode="General">
                  <c:v>11696</c:v>
                </c:pt>
                <c:pt idx="3">
                  <c:v>14460</c:v>
                </c:pt>
                <c:pt idx="4" formatCode="General">
                  <c:v>16190</c:v>
                </c:pt>
                <c:pt idx="5">
                  <c:v>15039.33</c:v>
                </c:pt>
                <c:pt idx="6">
                  <c:v>15159</c:v>
                </c:pt>
                <c:pt idx="7">
                  <c:v>17636</c:v>
                </c:pt>
                <c:pt idx="8">
                  <c:v>19458.88</c:v>
                </c:pt>
                <c:pt idx="9">
                  <c:v>19372.93</c:v>
                </c:pt>
                <c:pt idx="10">
                  <c:v>13317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A-DC44-B8DE-684103896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376128"/>
        <c:axId val="1014377808"/>
      </c:lineChart>
      <c:catAx>
        <c:axId val="101437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77808"/>
        <c:crosses val="autoZero"/>
        <c:auto val="1"/>
        <c:lblAlgn val="ctr"/>
        <c:lblOffset val="100"/>
        <c:noMultiLvlLbl val="0"/>
      </c:catAx>
      <c:valAx>
        <c:axId val="10143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7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'Generation Sent out'!$I$1</c:f>
              <c:strCache>
                <c:ptCount val="1"/>
                <c:pt idx="0">
                  <c:v>Moving Averages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'Generation Sent out'!$H$2:$H$12</c:f>
              <c:numCache>
                <c:formatCode>General</c:formatCode>
                <c:ptCount val="11"/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'Generation Sent out'!$I$2:$I$12</c:f>
              <c:numCache>
                <c:formatCode>General</c:formatCode>
                <c:ptCount val="11"/>
                <c:pt idx="2" formatCode="#,##0">
                  <c:v>13193</c:v>
                </c:pt>
                <c:pt idx="3" formatCode="#,##0">
                  <c:v>13198.666666666666</c:v>
                </c:pt>
                <c:pt idx="4" formatCode="#,##0">
                  <c:v>14115.333333333334</c:v>
                </c:pt>
                <c:pt idx="5" formatCode="#,##0">
                  <c:v>15229.776666666667</c:v>
                </c:pt>
                <c:pt idx="6" formatCode="#,##0">
                  <c:v>15462.776666666667</c:v>
                </c:pt>
                <c:pt idx="7" formatCode="#,##0">
                  <c:v>15944.776666666667</c:v>
                </c:pt>
                <c:pt idx="8" formatCode="#,##0">
                  <c:v>17417.960000000003</c:v>
                </c:pt>
                <c:pt idx="9" formatCode="#,##0">
                  <c:v>18822.603333333336</c:v>
                </c:pt>
                <c:pt idx="10" formatCode="#,##0">
                  <c:v>17382.936666666665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7-E740-8191-3134DCADE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124672"/>
        <c:axId val="1013492064"/>
      </c:lineChart>
      <c:catAx>
        <c:axId val="101312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492064"/>
        <c:crosses val="autoZero"/>
        <c:auto val="1"/>
        <c:lblAlgn val="ctr"/>
        <c:lblOffset val="100"/>
        <c:noMultiLvlLbl val="0"/>
      </c:catAx>
      <c:valAx>
        <c:axId val="10134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2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'Copper Production'!$F$1</c:f>
              <c:strCache>
                <c:ptCount val="1"/>
                <c:pt idx="0">
                  <c:v>Mining activities.(copper production 000's tonnes)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'Copper Production'!$E$2:$E$12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'Copper Production'!$F$2:$F$12</c:f>
              <c:numCache>
                <c:formatCode>General</c:formatCode>
                <c:ptCount val="11"/>
                <c:pt idx="0">
                  <c:v>708</c:v>
                </c:pt>
                <c:pt idx="1">
                  <c:v>710.56</c:v>
                </c:pt>
                <c:pt idx="2">
                  <c:v>770.59</c:v>
                </c:pt>
                <c:pt idx="3">
                  <c:v>786.73</c:v>
                </c:pt>
                <c:pt idx="4">
                  <c:v>809.84</c:v>
                </c:pt>
                <c:pt idx="5">
                  <c:v>793.9</c:v>
                </c:pt>
                <c:pt idx="6">
                  <c:v>828.95</c:v>
                </c:pt>
                <c:pt idx="7">
                  <c:v>803.75</c:v>
                </c:pt>
                <c:pt idx="8">
                  <c:v>763.55</c:v>
                </c:pt>
                <c:pt idx="9">
                  <c:v>732.58</c:v>
                </c:pt>
                <c:pt idx="10">
                  <c:v>820.68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9-7748-B579-5F04560F5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787408"/>
        <c:axId val="991776720"/>
      </c:lineChart>
      <c:catAx>
        <c:axId val="99178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76720"/>
        <c:crosses val="autoZero"/>
        <c:auto val="1"/>
        <c:lblAlgn val="ctr"/>
        <c:lblOffset val="100"/>
        <c:noMultiLvlLbl val="0"/>
      </c:catAx>
      <c:valAx>
        <c:axId val="9917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8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'Copper Production'!$J$1</c:f>
              <c:strCache>
                <c:ptCount val="1"/>
                <c:pt idx="0">
                  <c:v>Moving Averages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'Copper Production'!$I$2:$I$10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'Copper Production'!$J$2:$J$10</c:f>
              <c:numCache>
                <c:formatCode>General</c:formatCode>
                <c:ptCount val="9"/>
                <c:pt idx="0" formatCode="0.00">
                  <c:v>729.7166666666667</c:v>
                </c:pt>
                <c:pt idx="1">
                  <c:v>755.96</c:v>
                </c:pt>
                <c:pt idx="2" formatCode="0.00">
                  <c:v>789.0533333333334</c:v>
                </c:pt>
                <c:pt idx="3" formatCode="0.00">
                  <c:v>796.82333333333338</c:v>
                </c:pt>
                <c:pt idx="4" formatCode="0.00">
                  <c:v>810.89666666666665</c:v>
                </c:pt>
                <c:pt idx="5" formatCode="0.00">
                  <c:v>808.86666666666667</c:v>
                </c:pt>
                <c:pt idx="6">
                  <c:v>798.75</c:v>
                </c:pt>
                <c:pt idx="7" formatCode="0.00">
                  <c:v>766.62666666666667</c:v>
                </c:pt>
                <c:pt idx="8">
                  <c:v>772.27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7-A641-8FC8-8A4BD7EFE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714432"/>
        <c:axId val="1004984544"/>
      </c:lineChart>
      <c:catAx>
        <c:axId val="100471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84544"/>
        <c:crosses val="autoZero"/>
        <c:auto val="1"/>
        <c:lblAlgn val="ctr"/>
        <c:lblOffset val="100"/>
        <c:noMultiLvlLbl val="0"/>
      </c:catAx>
      <c:valAx>
        <c:axId val="100498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1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'Mining consumption'!$E$1</c:f>
              <c:strCache>
                <c:ptCount val="1"/>
                <c:pt idx="0">
                  <c:v>Mining electricity consumption(GWh)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'Mining consumption'!$D$2:$D$12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'Mining consumption'!$E$2:$E$12</c:f>
              <c:numCache>
                <c:formatCode>#,##0.0</c:formatCode>
                <c:ptCount val="11"/>
                <c:pt idx="0" formatCode="General">
                  <c:v>5933.5</c:v>
                </c:pt>
                <c:pt idx="1">
                  <c:v>6313.8</c:v>
                </c:pt>
                <c:pt idx="2" formatCode="General">
                  <c:v>5997.6</c:v>
                </c:pt>
                <c:pt idx="3" formatCode="General">
                  <c:v>6320.2</c:v>
                </c:pt>
                <c:pt idx="4" formatCode="General">
                  <c:v>6829.5</c:v>
                </c:pt>
                <c:pt idx="5" formatCode="General">
                  <c:v>6551.3</c:v>
                </c:pt>
                <c:pt idx="6" formatCode="General">
                  <c:v>6062.8</c:v>
                </c:pt>
                <c:pt idx="7" formatCode="General">
                  <c:v>6551.3</c:v>
                </c:pt>
                <c:pt idx="8" formatCode="General">
                  <c:v>7355.1</c:v>
                </c:pt>
                <c:pt idx="9" formatCode="General">
                  <c:v>7650.9</c:v>
                </c:pt>
                <c:pt idx="10" formatCode="General">
                  <c:v>4650.1000000000004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F-6A43-B85C-AD68981FD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626336"/>
        <c:axId val="1014628016"/>
      </c:lineChart>
      <c:catAx>
        <c:axId val="101462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28016"/>
        <c:crosses val="autoZero"/>
        <c:auto val="1"/>
        <c:lblAlgn val="ctr"/>
        <c:lblOffset val="100"/>
        <c:noMultiLvlLbl val="0"/>
      </c:catAx>
      <c:valAx>
        <c:axId val="10146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62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'Mining consumption'!$I$1</c:f>
              <c:strCache>
                <c:ptCount val="1"/>
                <c:pt idx="0">
                  <c:v>Moving Averages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'Mining consumption'!$H$2:$H$12</c:f>
              <c:numCache>
                <c:formatCode>General</c:formatCode>
                <c:ptCount val="11"/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'Mining consumption'!$I$2:$I$12</c:f>
              <c:numCache>
                <c:formatCode>General</c:formatCode>
                <c:ptCount val="11"/>
                <c:pt idx="2" formatCode="0.00">
                  <c:v>6081.6333333333341</c:v>
                </c:pt>
                <c:pt idx="3" formatCode="0.00">
                  <c:v>6210.5333333333338</c:v>
                </c:pt>
                <c:pt idx="4" formatCode="0.00">
                  <c:v>6382.4333333333334</c:v>
                </c:pt>
                <c:pt idx="5" formatCode="0.00">
                  <c:v>6567</c:v>
                </c:pt>
                <c:pt idx="6" formatCode="0.00">
                  <c:v>6481.2</c:v>
                </c:pt>
                <c:pt idx="7" formatCode="0.00">
                  <c:v>6388.4666666666672</c:v>
                </c:pt>
                <c:pt idx="8" formatCode="0.00">
                  <c:v>6656.4000000000005</c:v>
                </c:pt>
                <c:pt idx="9" formatCode="0.00">
                  <c:v>7185.7666666666673</c:v>
                </c:pt>
                <c:pt idx="10" formatCode="0.00">
                  <c:v>6552.0333333333328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5-3A4C-ACF2-D8CB557C3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169344"/>
        <c:axId val="1006513648"/>
      </c:lineChart>
      <c:catAx>
        <c:axId val="9731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13648"/>
        <c:crosses val="autoZero"/>
        <c:auto val="1"/>
        <c:lblAlgn val="ctr"/>
        <c:lblOffset val="100"/>
        <c:noMultiLvlLbl val="0"/>
      </c:catAx>
      <c:valAx>
        <c:axId val="10065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Rainfall!$E$1</c:f>
              <c:strCache>
                <c:ptCount val="1"/>
                <c:pt idx="0">
                  <c:v>rain_mm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Rainfall!$D$2:$D$12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Rainfall!$E$2:$E$12</c:f>
              <c:numCache>
                <c:formatCode>General</c:formatCode>
                <c:ptCount val="11"/>
                <c:pt idx="0">
                  <c:v>923.76359464863197</c:v>
                </c:pt>
                <c:pt idx="1">
                  <c:v>885.45599608340797</c:v>
                </c:pt>
                <c:pt idx="2">
                  <c:v>948.39367719348797</c:v>
                </c:pt>
                <c:pt idx="3">
                  <c:v>1184.1702573002201</c:v>
                </c:pt>
                <c:pt idx="4">
                  <c:v>960.88389599271704</c:v>
                </c:pt>
                <c:pt idx="5">
                  <c:v>837.87890846719995</c:v>
                </c:pt>
                <c:pt idx="6">
                  <c:v>1064.3742797283001</c:v>
                </c:pt>
                <c:pt idx="7">
                  <c:v>924.96608296441798</c:v>
                </c:pt>
                <c:pt idx="8">
                  <c:v>1096.61335231925</c:v>
                </c:pt>
                <c:pt idx="9">
                  <c:v>961.75407038964102</c:v>
                </c:pt>
                <c:pt idx="10">
                  <c:v>730.759609297726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A-F640-AC35-9FC113150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251040"/>
        <c:axId val="1033059296"/>
      </c:lineChart>
      <c:catAx>
        <c:axId val="133525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059296"/>
        <c:crosses val="autoZero"/>
        <c:auto val="1"/>
        <c:lblAlgn val="ctr"/>
        <c:lblOffset val="100"/>
        <c:noMultiLvlLbl val="0"/>
      </c:catAx>
      <c:valAx>
        <c:axId val="103305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Rainfall!$I$1</c:f>
              <c:strCache>
                <c:ptCount val="1"/>
                <c:pt idx="0">
                  <c:v>Moving averages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Rainfall!$H$2:$H$12</c:f>
              <c:numCache>
                <c:formatCode>General</c:formatCode>
                <c:ptCount val="11"/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Rainfall!$I$2:$I$12</c:f>
              <c:numCache>
                <c:formatCode>General</c:formatCode>
                <c:ptCount val="11"/>
                <c:pt idx="2">
                  <c:v>919.2044226418426</c:v>
                </c:pt>
                <c:pt idx="3">
                  <c:v>1006.0066435257053</c:v>
                </c:pt>
                <c:pt idx="4">
                  <c:v>1031.1492768288083</c:v>
                </c:pt>
                <c:pt idx="5">
                  <c:v>994.3110205867124</c:v>
                </c:pt>
                <c:pt idx="6">
                  <c:v>954.37902806273905</c:v>
                </c:pt>
                <c:pt idx="7">
                  <c:v>942.40642371997274</c:v>
                </c:pt>
                <c:pt idx="8">
                  <c:v>1028.6512383373226</c:v>
                </c:pt>
                <c:pt idx="9">
                  <c:v>994.44450189110296</c:v>
                </c:pt>
                <c:pt idx="10">
                  <c:v>929.70901066887234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3D-1E40-B4D1-F2D8464C4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469024"/>
        <c:axId val="1033499168"/>
      </c:lineChart>
      <c:catAx>
        <c:axId val="10334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99168"/>
        <c:crosses val="autoZero"/>
        <c:auto val="1"/>
        <c:lblAlgn val="ctr"/>
        <c:lblOffset val="100"/>
        <c:noMultiLvlLbl val="0"/>
      </c:catAx>
      <c:valAx>
        <c:axId val="103349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15</xdr:row>
      <xdr:rowOff>63500</xdr:rowOff>
    </xdr:from>
    <xdr:to>
      <xdr:col>4</xdr:col>
      <xdr:colOff>742950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56917-9CE8-B349-A1B7-1451AD541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755650</xdr:colOff>
      <xdr:row>15</xdr:row>
      <xdr:rowOff>25400</xdr:rowOff>
    </xdr:from>
    <xdr:to>
      <xdr:col>8</xdr:col>
      <xdr:colOff>495300</xdr:colOff>
      <xdr:row>29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70DCF-AC18-B746-823A-08DAEDB36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15</xdr:row>
      <xdr:rowOff>25400</xdr:rowOff>
    </xdr:from>
    <xdr:to>
      <xdr:col>5</xdr:col>
      <xdr:colOff>2286000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E39F6-13E3-A942-9F79-F0E1D719C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2406650</xdr:colOff>
      <xdr:row>15</xdr:row>
      <xdr:rowOff>25400</xdr:rowOff>
    </xdr:from>
    <xdr:to>
      <xdr:col>10</xdr:col>
      <xdr:colOff>342900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DC8F80-4976-B64E-A7BB-8CA78E12A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15</xdr:row>
      <xdr:rowOff>127000</xdr:rowOff>
    </xdr:from>
    <xdr:to>
      <xdr:col>4</xdr:col>
      <xdr:colOff>1371600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405E1C-653B-9448-BF84-D838F6039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1390650</xdr:colOff>
      <xdr:row>15</xdr:row>
      <xdr:rowOff>114300</xdr:rowOff>
    </xdr:from>
    <xdr:to>
      <xdr:col>9</xdr:col>
      <xdr:colOff>266700</xdr:colOff>
      <xdr:row>31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1C7E38-5E90-B946-8753-3E3F9ECA3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15</xdr:row>
      <xdr:rowOff>76200</xdr:rowOff>
    </xdr:from>
    <xdr:to>
      <xdr:col>4</xdr:col>
      <xdr:colOff>819150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54812-8912-854A-BD69-B31453130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15</xdr:row>
      <xdr:rowOff>76200</xdr:rowOff>
    </xdr:from>
    <xdr:to>
      <xdr:col>9</xdr:col>
      <xdr:colOff>552450</xdr:colOff>
      <xdr:row>28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41C59-B7FC-7D43-A34A-1A3DDBFAB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CD62-A33D-3446-8507-01AD095B09CC}">
  <dimension ref="A1:O12"/>
  <sheetViews>
    <sheetView workbookViewId="0">
      <selection activeCell="C26" sqref="C26"/>
    </sheetView>
  </sheetViews>
  <sheetFormatPr baseColWidth="10" defaultRowHeight="16" x14ac:dyDescent="0.2"/>
  <cols>
    <col min="2" max="2" width="27.33203125" bestFit="1" customWidth="1"/>
    <col min="3" max="3" width="22" bestFit="1" customWidth="1"/>
    <col min="4" max="4" width="43.1640625" bestFit="1" customWidth="1"/>
    <col min="5" max="5" width="32.5" bestFit="1" customWidth="1"/>
    <col min="7" max="7" width="12.1640625" bestFit="1" customWidth="1"/>
    <col min="8" max="8" width="35.83203125" bestFit="1" customWidth="1"/>
    <col min="9" max="9" width="30.1640625" bestFit="1" customWidth="1"/>
    <col min="10" max="10" width="34.5" bestFit="1" customWidth="1"/>
    <col min="11" max="11" width="35.83203125" bestFit="1" customWidth="1"/>
    <col min="12" max="12" width="32.6640625" bestFit="1" customWidth="1"/>
    <col min="13" max="13" width="39.1640625" bestFit="1" customWidth="1"/>
    <col min="14" max="14" width="54.5" bestFit="1" customWidth="1"/>
    <col min="15" max="15" width="25.5" bestFit="1" customWidth="1"/>
  </cols>
  <sheetData>
    <row r="1" spans="1:15" x14ac:dyDescent="0.2">
      <c r="A1" s="3" t="s">
        <v>0</v>
      </c>
      <c r="B1" s="3" t="s">
        <v>5</v>
      </c>
      <c r="C1" s="3" t="s">
        <v>1</v>
      </c>
      <c r="D1" s="3" t="s">
        <v>6</v>
      </c>
      <c r="E1" s="3" t="s">
        <v>2</v>
      </c>
      <c r="F1" s="3" t="s">
        <v>3</v>
      </c>
      <c r="G1" s="3" t="s">
        <v>4</v>
      </c>
      <c r="H1" s="3"/>
      <c r="I1" s="3"/>
      <c r="J1" s="3"/>
      <c r="K1" s="3"/>
      <c r="L1" s="3"/>
      <c r="M1" s="3"/>
      <c r="N1" s="3"/>
      <c r="O1" s="3"/>
    </row>
    <row r="2" spans="1:15" x14ac:dyDescent="0.2">
      <c r="A2">
        <v>2014</v>
      </c>
      <c r="B2">
        <v>14443</v>
      </c>
      <c r="C2">
        <v>41</v>
      </c>
      <c r="D2">
        <v>708</v>
      </c>
      <c r="E2">
        <v>5933.5</v>
      </c>
      <c r="F2">
        <v>923.76359464863197</v>
      </c>
      <c r="G2">
        <v>22.155337998870799</v>
      </c>
    </row>
    <row r="3" spans="1:15" x14ac:dyDescent="0.2">
      <c r="A3">
        <v>2015</v>
      </c>
      <c r="B3" s="2">
        <v>13440</v>
      </c>
      <c r="C3">
        <v>54.5</v>
      </c>
      <c r="D3">
        <v>710.56</v>
      </c>
      <c r="E3" s="1">
        <v>6313.8</v>
      </c>
      <c r="F3">
        <v>885.45599608340797</v>
      </c>
      <c r="G3">
        <v>22.298688303436101</v>
      </c>
    </row>
    <row r="4" spans="1:15" x14ac:dyDescent="0.2">
      <c r="A4">
        <v>2016</v>
      </c>
      <c r="B4">
        <v>11696</v>
      </c>
      <c r="C4">
        <v>54.5</v>
      </c>
      <c r="D4">
        <v>770.59</v>
      </c>
      <c r="E4">
        <v>5997.6</v>
      </c>
      <c r="F4">
        <v>948.39367719348797</v>
      </c>
      <c r="G4">
        <v>22.463362842243701</v>
      </c>
    </row>
    <row r="5" spans="1:15" x14ac:dyDescent="0.2">
      <c r="A5">
        <v>2017</v>
      </c>
      <c r="B5" s="2">
        <v>14460</v>
      </c>
      <c r="C5">
        <v>50.9</v>
      </c>
      <c r="D5">
        <v>786.73</v>
      </c>
      <c r="E5">
        <v>6320.2</v>
      </c>
      <c r="F5">
        <v>1184.1702573002201</v>
      </c>
      <c r="G5">
        <v>21.880242965427001</v>
      </c>
    </row>
    <row r="6" spans="1:15" x14ac:dyDescent="0.2">
      <c r="A6">
        <v>2018</v>
      </c>
      <c r="B6" s="12">
        <v>16189.68</v>
      </c>
      <c r="C6">
        <v>51.08</v>
      </c>
      <c r="D6">
        <v>809.84</v>
      </c>
      <c r="E6">
        <v>6829.5</v>
      </c>
      <c r="F6">
        <v>960.88389599271704</v>
      </c>
      <c r="G6">
        <v>22.2009802301415</v>
      </c>
    </row>
    <row r="7" spans="1:15" x14ac:dyDescent="0.2">
      <c r="A7">
        <v>2019</v>
      </c>
      <c r="B7" s="2">
        <v>15039.33</v>
      </c>
      <c r="C7">
        <v>50.77</v>
      </c>
      <c r="D7">
        <v>793.9</v>
      </c>
      <c r="E7">
        <v>6551.3</v>
      </c>
      <c r="F7">
        <v>837.87890846719995</v>
      </c>
      <c r="G7">
        <v>22.612421256109901</v>
      </c>
    </row>
    <row r="8" spans="1:15" x14ac:dyDescent="0.2">
      <c r="A8">
        <v>2020</v>
      </c>
      <c r="B8" s="2">
        <v>15159</v>
      </c>
      <c r="C8">
        <v>51</v>
      </c>
      <c r="D8">
        <v>828.95</v>
      </c>
      <c r="E8">
        <v>6062.8</v>
      </c>
      <c r="F8">
        <v>1064.3742797283001</v>
      </c>
      <c r="G8">
        <v>22.096103144632501</v>
      </c>
    </row>
    <row r="9" spans="1:15" x14ac:dyDescent="0.2">
      <c r="A9">
        <v>2021</v>
      </c>
      <c r="B9" s="2">
        <v>17636</v>
      </c>
      <c r="C9">
        <v>47</v>
      </c>
      <c r="D9">
        <v>803.75</v>
      </c>
      <c r="E9">
        <v>6551.3</v>
      </c>
      <c r="F9">
        <v>924.96608296441798</v>
      </c>
      <c r="G9">
        <v>21.9533787886248</v>
      </c>
    </row>
    <row r="10" spans="1:15" x14ac:dyDescent="0.2">
      <c r="A10">
        <v>2022</v>
      </c>
      <c r="B10" s="2">
        <v>19458.88</v>
      </c>
      <c r="C10">
        <v>48</v>
      </c>
      <c r="D10">
        <v>763.55</v>
      </c>
      <c r="E10">
        <v>7355.1</v>
      </c>
      <c r="F10">
        <v>1096.61335231925</v>
      </c>
      <c r="G10">
        <v>21.587005623777301</v>
      </c>
    </row>
    <row r="11" spans="1:15" x14ac:dyDescent="0.2">
      <c r="A11">
        <v>2023</v>
      </c>
      <c r="B11" s="2">
        <v>19372.93</v>
      </c>
      <c r="C11">
        <v>39</v>
      </c>
      <c r="D11">
        <v>732.58</v>
      </c>
      <c r="E11">
        <v>7650.9</v>
      </c>
      <c r="F11">
        <v>961.75407038964102</v>
      </c>
      <c r="G11">
        <v>22.558808243052699</v>
      </c>
    </row>
    <row r="12" spans="1:15" x14ac:dyDescent="0.2">
      <c r="A12">
        <v>2024</v>
      </c>
      <c r="B12" s="2">
        <v>13317</v>
      </c>
      <c r="C12">
        <v>35</v>
      </c>
      <c r="D12">
        <v>820.68</v>
      </c>
      <c r="E12">
        <v>4650.1000000000004</v>
      </c>
      <c r="F12">
        <v>730.759609297726</v>
      </c>
      <c r="G12">
        <v>22.824268768392798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FC42-662D-6F45-AE02-E24192768A47}">
  <dimension ref="A1:O19"/>
  <sheetViews>
    <sheetView tabSelected="1" workbookViewId="0">
      <selection activeCell="O1" sqref="O1:O12"/>
    </sheetView>
  </sheetViews>
  <sheetFormatPr baseColWidth="10" defaultRowHeight="16" x14ac:dyDescent="0.2"/>
  <cols>
    <col min="1" max="1" width="8" bestFit="1" customWidth="1"/>
    <col min="2" max="2" width="29.83203125" bestFit="1" customWidth="1"/>
    <col min="3" max="3" width="58.6640625" bestFit="1" customWidth="1"/>
    <col min="4" max="4" width="45.6640625" bestFit="1" customWidth="1"/>
    <col min="5" max="5" width="35.1640625" bestFit="1" customWidth="1"/>
    <col min="6" max="6" width="12.1640625" bestFit="1" customWidth="1"/>
    <col min="7" max="7" width="14.5" bestFit="1" customWidth="1"/>
    <col min="8" max="8" width="38.33203125" bestFit="1" customWidth="1"/>
    <col min="9" max="9" width="32.6640625" bestFit="1" customWidth="1"/>
    <col min="10" max="10" width="37" bestFit="1" customWidth="1"/>
    <col min="11" max="11" width="38.33203125" bestFit="1" customWidth="1"/>
    <col min="12" max="12" width="35.1640625" bestFit="1" customWidth="1"/>
    <col min="13" max="13" width="41.6640625" bestFit="1" customWidth="1"/>
    <col min="14" max="14" width="57" bestFit="1" customWidth="1"/>
    <col min="15" max="15" width="28" bestFit="1" customWidth="1"/>
  </cols>
  <sheetData>
    <row r="1" spans="1:15" x14ac:dyDescent="0.2">
      <c r="A1" s="3" t="s">
        <v>0</v>
      </c>
      <c r="B1" s="3" t="s">
        <v>5</v>
      </c>
      <c r="C1" s="3" t="s">
        <v>1</v>
      </c>
      <c r="D1" s="3" t="s">
        <v>6</v>
      </c>
      <c r="E1" s="3" t="s">
        <v>2</v>
      </c>
      <c r="F1" s="3" t="s">
        <v>3</v>
      </c>
      <c r="G1" s="3" t="s">
        <v>4</v>
      </c>
      <c r="H1" s="3"/>
      <c r="I1" s="3"/>
      <c r="J1" s="3"/>
      <c r="K1" s="3"/>
      <c r="L1" s="3"/>
      <c r="M1" s="3"/>
      <c r="N1" s="3"/>
      <c r="O1" s="3"/>
    </row>
    <row r="2" spans="1:15" x14ac:dyDescent="0.2">
      <c r="A2">
        <v>2014</v>
      </c>
      <c r="B2">
        <v>14443</v>
      </c>
      <c r="C2">
        <v>41</v>
      </c>
      <c r="D2">
        <v>708</v>
      </c>
      <c r="E2">
        <v>5933.5</v>
      </c>
      <c r="F2">
        <v>923.76359464863197</v>
      </c>
      <c r="G2">
        <v>22.155337998870799</v>
      </c>
    </row>
    <row r="3" spans="1:15" x14ac:dyDescent="0.2">
      <c r="A3">
        <v>2015</v>
      </c>
      <c r="B3" s="2">
        <v>13440</v>
      </c>
      <c r="C3">
        <v>54.5</v>
      </c>
      <c r="D3">
        <v>710.56</v>
      </c>
      <c r="E3" s="1">
        <v>6313.8</v>
      </c>
      <c r="F3">
        <v>885.45599608340797</v>
      </c>
      <c r="G3">
        <v>22.298688303436101</v>
      </c>
    </row>
    <row r="4" spans="1:15" x14ac:dyDescent="0.2">
      <c r="A4">
        <v>2016</v>
      </c>
      <c r="B4">
        <v>11696</v>
      </c>
      <c r="C4">
        <v>54.5</v>
      </c>
      <c r="D4">
        <v>770.59</v>
      </c>
      <c r="E4">
        <v>5997.6</v>
      </c>
      <c r="F4">
        <v>948.39367719348797</v>
      </c>
      <c r="G4">
        <v>22.463362842243701</v>
      </c>
    </row>
    <row r="5" spans="1:15" x14ac:dyDescent="0.2">
      <c r="A5">
        <v>2017</v>
      </c>
      <c r="B5" s="2">
        <v>14460</v>
      </c>
      <c r="C5">
        <v>50.9</v>
      </c>
      <c r="D5">
        <v>786.73</v>
      </c>
      <c r="E5">
        <v>6320.2</v>
      </c>
      <c r="F5">
        <v>1184.1702573002201</v>
      </c>
      <c r="G5">
        <v>21.880242965427001</v>
      </c>
    </row>
    <row r="6" spans="1:15" x14ac:dyDescent="0.2">
      <c r="A6">
        <v>2018</v>
      </c>
      <c r="B6">
        <v>16189.68</v>
      </c>
      <c r="C6">
        <v>51.08</v>
      </c>
      <c r="D6">
        <v>809.84</v>
      </c>
      <c r="E6">
        <v>6829.5</v>
      </c>
      <c r="F6">
        <v>960.88389599271704</v>
      </c>
      <c r="G6">
        <v>22.2009802301415</v>
      </c>
    </row>
    <row r="7" spans="1:15" x14ac:dyDescent="0.2">
      <c r="A7">
        <v>2019</v>
      </c>
      <c r="B7" s="2">
        <v>15039.33</v>
      </c>
      <c r="C7">
        <v>50.77</v>
      </c>
      <c r="D7">
        <v>793.9</v>
      </c>
      <c r="E7">
        <v>6551.3</v>
      </c>
      <c r="F7">
        <v>837.87890846719995</v>
      </c>
      <c r="G7">
        <v>22.612421256109901</v>
      </c>
    </row>
    <row r="8" spans="1:15" x14ac:dyDescent="0.2">
      <c r="A8">
        <v>2020</v>
      </c>
      <c r="B8" s="2">
        <v>15159</v>
      </c>
      <c r="C8">
        <v>51</v>
      </c>
      <c r="D8">
        <v>828.95</v>
      </c>
      <c r="E8">
        <v>6062.8</v>
      </c>
      <c r="F8">
        <v>1064.3742797283001</v>
      </c>
      <c r="G8">
        <v>22.096103144632501</v>
      </c>
    </row>
    <row r="9" spans="1:15" x14ac:dyDescent="0.2">
      <c r="A9">
        <v>2021</v>
      </c>
      <c r="B9" s="2">
        <v>17636</v>
      </c>
      <c r="C9">
        <v>47</v>
      </c>
      <c r="D9">
        <v>803.75</v>
      </c>
      <c r="E9">
        <v>6551.3</v>
      </c>
      <c r="F9">
        <v>924.96608296441798</v>
      </c>
      <c r="G9">
        <v>21.9533787886248</v>
      </c>
    </row>
    <row r="10" spans="1:15" x14ac:dyDescent="0.2">
      <c r="A10">
        <v>2022</v>
      </c>
      <c r="B10" s="2">
        <v>19458.88</v>
      </c>
      <c r="C10">
        <v>48</v>
      </c>
      <c r="D10">
        <v>763.55</v>
      </c>
      <c r="E10">
        <v>7355.1</v>
      </c>
      <c r="F10">
        <v>1096.61335231925</v>
      </c>
      <c r="G10">
        <v>21.587005623777301</v>
      </c>
    </row>
    <row r="11" spans="1:15" x14ac:dyDescent="0.2">
      <c r="A11">
        <v>2023</v>
      </c>
      <c r="B11" s="2">
        <v>19372.93</v>
      </c>
      <c r="C11">
        <v>39</v>
      </c>
      <c r="D11">
        <v>732.58</v>
      </c>
      <c r="E11">
        <v>7650.9</v>
      </c>
      <c r="F11">
        <v>961.75407038964102</v>
      </c>
      <c r="G11">
        <v>22.558808243052699</v>
      </c>
    </row>
    <row r="12" spans="1:15" x14ac:dyDescent="0.2">
      <c r="A12">
        <v>2024</v>
      </c>
      <c r="B12" s="2">
        <v>13317</v>
      </c>
      <c r="C12">
        <v>35</v>
      </c>
      <c r="D12">
        <v>820.68</v>
      </c>
      <c r="E12">
        <v>4650.1000000000004</v>
      </c>
      <c r="F12">
        <v>730.759609297726</v>
      </c>
      <c r="G12">
        <v>22.824268768392798</v>
      </c>
    </row>
    <row r="19" spans="3:4" x14ac:dyDescent="0.2">
      <c r="C19" t="s">
        <v>59</v>
      </c>
      <c r="D19">
        <f>CORREL(D2:D12,E2:E12)</f>
        <v>-0.30321003497462901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6030-D02C-3943-A4C7-4D8F14F48596}">
  <dimension ref="A1:L15"/>
  <sheetViews>
    <sheetView workbookViewId="0">
      <selection activeCell="L10" sqref="L10"/>
    </sheetView>
  </sheetViews>
  <sheetFormatPr baseColWidth="10" defaultRowHeight="16" x14ac:dyDescent="0.2"/>
  <cols>
    <col min="1" max="1" width="16.83203125" bestFit="1" customWidth="1"/>
    <col min="2" max="2" width="12.1640625" bestFit="1" customWidth="1"/>
    <col min="5" max="5" width="27.33203125" bestFit="1" customWidth="1"/>
    <col min="7" max="7" width="18.5" bestFit="1" customWidth="1"/>
    <col min="9" max="9" width="15.5" bestFit="1" customWidth="1"/>
    <col min="10" max="10" width="12.33203125" bestFit="1" customWidth="1"/>
    <col min="12" max="12" width="33.5" bestFit="1" customWidth="1"/>
  </cols>
  <sheetData>
    <row r="1" spans="1:12" x14ac:dyDescent="0.2">
      <c r="A1" s="6" t="s">
        <v>5</v>
      </c>
      <c r="B1" s="6"/>
      <c r="D1" s="3" t="s">
        <v>0</v>
      </c>
      <c r="E1" s="3" t="s">
        <v>5</v>
      </c>
      <c r="F1" s="3" t="s">
        <v>0</v>
      </c>
      <c r="G1" s="3" t="s">
        <v>23</v>
      </c>
      <c r="H1" s="3" t="s">
        <v>24</v>
      </c>
      <c r="I1" s="3" t="s">
        <v>25</v>
      </c>
      <c r="J1" s="3" t="s">
        <v>22</v>
      </c>
      <c r="L1" s="3" t="s">
        <v>55</v>
      </c>
    </row>
    <row r="2" spans="1:12" x14ac:dyDescent="0.2">
      <c r="A2" s="4"/>
      <c r="B2" s="4"/>
      <c r="D2">
        <v>2014</v>
      </c>
      <c r="E2" s="2">
        <v>14443</v>
      </c>
      <c r="J2" s="9">
        <f>(E12/E2)^(1/10)-1</f>
        <v>-8.0839927173010917E-3</v>
      </c>
      <c r="L2">
        <f>(E2-B3)/B7</f>
        <v>-0.41496249006616448</v>
      </c>
    </row>
    <row r="3" spans="1:12" x14ac:dyDescent="0.2">
      <c r="A3" s="4" t="s">
        <v>7</v>
      </c>
      <c r="B3" s="4">
        <v>15473.830909090908</v>
      </c>
      <c r="D3">
        <v>2015</v>
      </c>
      <c r="E3" s="2">
        <v>13440</v>
      </c>
      <c r="F3">
        <v>2015</v>
      </c>
      <c r="G3" s="9">
        <f>(E3-E2)/E2</f>
        <v>-6.9445406079069447E-2</v>
      </c>
      <c r="L3">
        <f>(E3-B3)/B7</f>
        <v>-0.81872160697450136</v>
      </c>
    </row>
    <row r="4" spans="1:12" x14ac:dyDescent="0.2">
      <c r="A4" s="4" t="s">
        <v>8</v>
      </c>
      <c r="B4" s="4">
        <v>749.00074313406208</v>
      </c>
      <c r="D4">
        <v>2016</v>
      </c>
      <c r="E4">
        <v>11696</v>
      </c>
      <c r="F4">
        <v>2016</v>
      </c>
      <c r="G4" s="9">
        <f t="shared" ref="G4:G12" si="0">(E4-E3)/E3</f>
        <v>-0.12976190476190477</v>
      </c>
      <c r="H4">
        <v>2016</v>
      </c>
      <c r="I4" s="2">
        <f>AVERAGE(E2:E4)</f>
        <v>13193</v>
      </c>
      <c r="L4">
        <f>(E4-B3)/B7</f>
        <v>-1.520771357610732</v>
      </c>
    </row>
    <row r="5" spans="1:12" x14ac:dyDescent="0.2">
      <c r="A5" s="4" t="s">
        <v>9</v>
      </c>
      <c r="B5" s="4">
        <v>15039.33</v>
      </c>
      <c r="D5">
        <v>2017</v>
      </c>
      <c r="E5" s="2">
        <v>14460</v>
      </c>
      <c r="F5">
        <v>2017</v>
      </c>
      <c r="G5" s="9">
        <f t="shared" si="0"/>
        <v>0.23632010943912449</v>
      </c>
      <c r="H5">
        <v>2017</v>
      </c>
      <c r="I5" s="2">
        <f t="shared" ref="I5:I12" si="1">AVERAGE(E3:E5)</f>
        <v>13198.666666666666</v>
      </c>
      <c r="L5">
        <f>(E5-B3)/B7</f>
        <v>-0.40811911520331134</v>
      </c>
    </row>
    <row r="6" spans="1:12" x14ac:dyDescent="0.2">
      <c r="A6" s="4" t="s">
        <v>10</v>
      </c>
      <c r="B6" s="4" t="e">
        <v>#N/A</v>
      </c>
      <c r="D6">
        <v>2018</v>
      </c>
      <c r="E6">
        <v>16190</v>
      </c>
      <c r="F6">
        <v>2018</v>
      </c>
      <c r="G6" s="9">
        <f t="shared" si="0"/>
        <v>0.11964038727524205</v>
      </c>
      <c r="H6">
        <v>2018</v>
      </c>
      <c r="I6" s="2">
        <f t="shared" si="1"/>
        <v>14115.333333333334</v>
      </c>
      <c r="L6">
        <f>(E6-B3)/B7</f>
        <v>0.28829491495762855</v>
      </c>
    </row>
    <row r="7" spans="1:12" x14ac:dyDescent="0.2">
      <c r="A7" s="4" t="s">
        <v>11</v>
      </c>
      <c r="B7" s="4">
        <v>2484.1544326730473</v>
      </c>
      <c r="D7">
        <v>2019</v>
      </c>
      <c r="E7" s="2">
        <v>15039.33</v>
      </c>
      <c r="F7">
        <v>2019</v>
      </c>
      <c r="G7" s="9">
        <f t="shared" si="0"/>
        <v>-7.1072884496602845E-2</v>
      </c>
      <c r="H7">
        <v>2019</v>
      </c>
      <c r="I7" s="2">
        <f t="shared" si="1"/>
        <v>15229.776666666667</v>
      </c>
      <c r="L7">
        <f>(E7-B3)/B7</f>
        <v>-0.17490897642115108</v>
      </c>
    </row>
    <row r="8" spans="1:12" x14ac:dyDescent="0.2">
      <c r="A8" s="4" t="s">
        <v>12</v>
      </c>
      <c r="B8" s="4">
        <v>6171023.2453691484</v>
      </c>
      <c r="D8">
        <v>2020</v>
      </c>
      <c r="E8" s="2">
        <v>15159</v>
      </c>
      <c r="F8">
        <v>2020</v>
      </c>
      <c r="G8" s="9">
        <f t="shared" si="0"/>
        <v>7.9571363883896469E-3</v>
      </c>
      <c r="H8">
        <v>2020</v>
      </c>
      <c r="I8" s="2">
        <f t="shared" si="1"/>
        <v>15462.776666666667</v>
      </c>
      <c r="L8">
        <f>(E8-B3)/B7</f>
        <v>-0.12673564290128997</v>
      </c>
    </row>
    <row r="9" spans="1:12" x14ac:dyDescent="0.2">
      <c r="A9" s="4" t="s">
        <v>13</v>
      </c>
      <c r="B9" s="4">
        <v>-0.55543942012299308</v>
      </c>
      <c r="D9">
        <v>2021</v>
      </c>
      <c r="E9" s="2">
        <v>17636</v>
      </c>
      <c r="F9">
        <v>2021</v>
      </c>
      <c r="G9" s="9">
        <f t="shared" si="0"/>
        <v>0.1634012797677947</v>
      </c>
      <c r="H9">
        <v>2021</v>
      </c>
      <c r="I9" s="2">
        <f t="shared" si="1"/>
        <v>15944.776666666667</v>
      </c>
      <c r="L9">
        <f>(E9-B3)/B7</f>
        <v>0.87038432976266844</v>
      </c>
    </row>
    <row r="10" spans="1:12" x14ac:dyDescent="0.2">
      <c r="A10" s="4" t="s">
        <v>14</v>
      </c>
      <c r="B10" s="4">
        <v>0.46580792442288121</v>
      </c>
      <c r="D10">
        <v>2022</v>
      </c>
      <c r="E10" s="2">
        <v>19458.88</v>
      </c>
      <c r="F10">
        <v>2022</v>
      </c>
      <c r="G10" s="9">
        <f t="shared" si="0"/>
        <v>0.1033613064186891</v>
      </c>
      <c r="H10">
        <v>2022</v>
      </c>
      <c r="I10" s="2">
        <f t="shared" si="1"/>
        <v>17417.960000000003</v>
      </c>
      <c r="L10">
        <f>(E10-B3)/B7</f>
        <v>1.6041873397625384</v>
      </c>
    </row>
    <row r="11" spans="1:12" x14ac:dyDescent="0.2">
      <c r="A11" s="4" t="s">
        <v>15</v>
      </c>
      <c r="B11" s="4">
        <v>7762.880000000001</v>
      </c>
      <c r="D11">
        <v>2023</v>
      </c>
      <c r="E11" s="2">
        <v>19372.93</v>
      </c>
      <c r="F11">
        <v>2023</v>
      </c>
      <c r="G11" s="9">
        <f t="shared" si="0"/>
        <v>-4.4170065286388898E-3</v>
      </c>
      <c r="H11">
        <v>2023</v>
      </c>
      <c r="I11" s="2">
        <f t="shared" si="1"/>
        <v>18822.603333333336</v>
      </c>
      <c r="L11">
        <f>(E11-B3)/B7</f>
        <v>1.5695880415588774</v>
      </c>
    </row>
    <row r="12" spans="1:12" x14ac:dyDescent="0.2">
      <c r="A12" s="4" t="s">
        <v>16</v>
      </c>
      <c r="B12" s="4">
        <v>11696</v>
      </c>
      <c r="D12">
        <v>2024</v>
      </c>
      <c r="E12" s="2">
        <v>13317</v>
      </c>
      <c r="F12">
        <v>2024</v>
      </c>
      <c r="G12" s="9">
        <f t="shared" si="0"/>
        <v>-0.31259752654864287</v>
      </c>
      <c r="H12">
        <v>2024</v>
      </c>
      <c r="I12" s="2">
        <f t="shared" si="1"/>
        <v>17382.936666666665</v>
      </c>
      <c r="L12">
        <f>(E12-B3)/B7</f>
        <v>-0.86823543686455662</v>
      </c>
    </row>
    <row r="13" spans="1:12" x14ac:dyDescent="0.2">
      <c r="A13" s="4" t="s">
        <v>17</v>
      </c>
      <c r="B13" s="4">
        <v>19458.88</v>
      </c>
    </row>
    <row r="14" spans="1:12" x14ac:dyDescent="0.2">
      <c r="A14" s="4" t="s">
        <v>18</v>
      </c>
      <c r="B14" s="4">
        <v>170212.13999999998</v>
      </c>
    </row>
    <row r="15" spans="1:12" ht="17" thickBot="1" x14ac:dyDescent="0.25">
      <c r="A15" s="5" t="s">
        <v>19</v>
      </c>
      <c r="B15" s="5">
        <v>11</v>
      </c>
    </row>
  </sheetData>
  <pageMargins left="0.7" right="0.7" top="0.75" bottom="0.75" header="0.3" footer="0.3"/>
  <ignoredErrors>
    <ignoredError sqref="I4:I1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9654-B5AE-CB4A-98F9-78AE98BB4FC8}">
  <dimension ref="A1:M15"/>
  <sheetViews>
    <sheetView topLeftCell="F1" workbookViewId="0">
      <selection activeCell="M2" sqref="M2:M12"/>
    </sheetView>
  </sheetViews>
  <sheetFormatPr baseColWidth="10" defaultRowHeight="16" x14ac:dyDescent="0.2"/>
  <cols>
    <col min="1" max="1" width="16.83203125" bestFit="1" customWidth="1"/>
    <col min="6" max="6" width="43.1640625" bestFit="1" customWidth="1"/>
    <col min="8" max="8" width="19.1640625" bestFit="1" customWidth="1"/>
    <col min="9" max="9" width="19.1640625" customWidth="1"/>
    <col min="10" max="10" width="16" bestFit="1" customWidth="1"/>
    <col min="11" max="11" width="12.33203125" bestFit="1" customWidth="1"/>
    <col min="13" max="13" width="31.5" bestFit="1" customWidth="1"/>
  </cols>
  <sheetData>
    <row r="1" spans="1:13" x14ac:dyDescent="0.2">
      <c r="A1" s="6" t="s">
        <v>6</v>
      </c>
      <c r="B1" s="6"/>
      <c r="E1" s="3" t="s">
        <v>0</v>
      </c>
      <c r="F1" s="3" t="s">
        <v>6</v>
      </c>
      <c r="G1" s="3" t="s">
        <v>0</v>
      </c>
      <c r="H1" s="3" t="s">
        <v>20</v>
      </c>
      <c r="I1" s="3" t="s">
        <v>0</v>
      </c>
      <c r="J1" s="3" t="s">
        <v>21</v>
      </c>
      <c r="K1" s="3" t="s">
        <v>22</v>
      </c>
      <c r="M1" s="3" t="s">
        <v>56</v>
      </c>
    </row>
    <row r="2" spans="1:13" x14ac:dyDescent="0.2">
      <c r="A2" s="4"/>
      <c r="B2" s="4"/>
      <c r="E2">
        <v>2014</v>
      </c>
      <c r="F2">
        <v>708</v>
      </c>
      <c r="I2">
        <v>2016</v>
      </c>
      <c r="J2" s="8">
        <f t="shared" ref="J2:J10" si="0">AVERAGE(F2:F4)</f>
        <v>729.7166666666667</v>
      </c>
      <c r="K2" s="7">
        <f>(F12/F2)^(1/10)-1</f>
        <v>1.4878516466731551E-2</v>
      </c>
      <c r="M2">
        <f>(F2-B3)/B7</f>
        <v>-1.5826815591764858</v>
      </c>
    </row>
    <row r="3" spans="1:13" x14ac:dyDescent="0.2">
      <c r="A3" s="4" t="s">
        <v>7</v>
      </c>
      <c r="B3" s="4">
        <v>775.37545454545443</v>
      </c>
      <c r="E3">
        <v>2015</v>
      </c>
      <c r="F3">
        <v>710.56</v>
      </c>
      <c r="G3">
        <v>2015</v>
      </c>
      <c r="H3" s="7">
        <f>(F3-F2)/F2</f>
        <v>3.6158192090394708E-3</v>
      </c>
      <c r="I3">
        <v>2017</v>
      </c>
      <c r="J3">
        <f t="shared" si="0"/>
        <v>755.96</v>
      </c>
      <c r="M3">
        <f>(F3-B3)/B7</f>
        <v>-1.5225459382916087</v>
      </c>
    </row>
    <row r="4" spans="1:13" x14ac:dyDescent="0.2">
      <c r="A4" s="4" t="s">
        <v>8</v>
      </c>
      <c r="B4" s="4">
        <v>12.835471402161376</v>
      </c>
      <c r="E4">
        <v>2016</v>
      </c>
      <c r="F4">
        <v>770.59</v>
      </c>
      <c r="G4">
        <v>2016</v>
      </c>
      <c r="H4" s="7">
        <f t="shared" ref="H4:H12" si="1">(F4-F3)/F3</f>
        <v>8.4482661562711225E-2</v>
      </c>
      <c r="I4">
        <v>2018</v>
      </c>
      <c r="J4" s="8">
        <f t="shared" si="0"/>
        <v>789.0533333333334</v>
      </c>
      <c r="M4">
        <f>(F4-B3)/B7</f>
        <v>-0.11241260949502491</v>
      </c>
    </row>
    <row r="5" spans="1:13" x14ac:dyDescent="0.2">
      <c r="A5" s="4" t="s">
        <v>9</v>
      </c>
      <c r="B5" s="4">
        <v>786.73</v>
      </c>
      <c r="E5">
        <v>2017</v>
      </c>
      <c r="F5">
        <v>786.73</v>
      </c>
      <c r="G5">
        <v>2017</v>
      </c>
      <c r="H5" s="7">
        <f t="shared" si="1"/>
        <v>2.0944990202312497E-2</v>
      </c>
      <c r="I5">
        <v>2019</v>
      </c>
      <c r="J5" s="8">
        <f t="shared" si="0"/>
        <v>796.82333333333338</v>
      </c>
      <c r="M5">
        <f>(F5-B3)/B7</f>
        <v>0.26672368780260647</v>
      </c>
    </row>
    <row r="6" spans="1:13" x14ac:dyDescent="0.2">
      <c r="A6" s="4" t="s">
        <v>10</v>
      </c>
      <c r="B6" s="4" t="e">
        <v>#N/A</v>
      </c>
      <c r="E6">
        <v>2018</v>
      </c>
      <c r="F6">
        <v>809.84</v>
      </c>
      <c r="G6">
        <v>2018</v>
      </c>
      <c r="H6" s="7">
        <f t="shared" si="1"/>
        <v>2.9374753727454163E-2</v>
      </c>
      <c r="I6">
        <v>2020</v>
      </c>
      <c r="J6" s="8">
        <f t="shared" si="0"/>
        <v>810.89666666666665</v>
      </c>
      <c r="M6">
        <f>(F6-B3)/B7</f>
        <v>0.80958860915008313</v>
      </c>
    </row>
    <row r="7" spans="1:13" x14ac:dyDescent="0.2">
      <c r="A7" s="4" t="s">
        <v>11</v>
      </c>
      <c r="B7" s="4">
        <v>42.570442648306205</v>
      </c>
      <c r="E7">
        <v>2019</v>
      </c>
      <c r="F7">
        <v>793.9</v>
      </c>
      <c r="G7">
        <v>2019</v>
      </c>
      <c r="H7" s="7">
        <f t="shared" si="1"/>
        <v>-1.9682900325990387E-2</v>
      </c>
      <c r="I7">
        <v>2021</v>
      </c>
      <c r="J7" s="8">
        <f t="shared" si="0"/>
        <v>808.86666666666667</v>
      </c>
      <c r="M7">
        <f>(F7-B3)/B7</f>
        <v>0.43515040723408127</v>
      </c>
    </row>
    <row r="8" spans="1:13" x14ac:dyDescent="0.2">
      <c r="A8" s="4" t="s">
        <v>12</v>
      </c>
      <c r="B8" s="4">
        <v>1812.2425872727279</v>
      </c>
      <c r="E8">
        <v>2020</v>
      </c>
      <c r="F8">
        <v>828.95</v>
      </c>
      <c r="G8">
        <v>2020</v>
      </c>
      <c r="H8" s="7">
        <f t="shared" si="1"/>
        <v>4.4149137170928415E-2</v>
      </c>
      <c r="I8">
        <v>2022</v>
      </c>
      <c r="J8">
        <f t="shared" si="0"/>
        <v>798.75</v>
      </c>
      <c r="M8">
        <f>(F8-B3)/B7</f>
        <v>1.2584916228649372</v>
      </c>
    </row>
    <row r="9" spans="1:13" x14ac:dyDescent="0.2">
      <c r="A9" s="4" t="s">
        <v>13</v>
      </c>
      <c r="B9" s="4">
        <v>-1.025306928668106</v>
      </c>
      <c r="E9">
        <v>2021</v>
      </c>
      <c r="F9">
        <v>803.75</v>
      </c>
      <c r="G9">
        <v>2021</v>
      </c>
      <c r="H9" s="7">
        <f t="shared" si="1"/>
        <v>-3.0399903492369918E-2</v>
      </c>
      <c r="I9">
        <v>2023</v>
      </c>
      <c r="J9" s="8">
        <f t="shared" si="0"/>
        <v>766.62666666666667</v>
      </c>
      <c r="M9">
        <f>(F9-B3)/B7</f>
        <v>0.66653160477941464</v>
      </c>
    </row>
    <row r="10" spans="1:13" x14ac:dyDescent="0.2">
      <c r="A10" s="4" t="s">
        <v>14</v>
      </c>
      <c r="B10" s="4">
        <v>-0.5385198966729533</v>
      </c>
      <c r="E10">
        <v>2022</v>
      </c>
      <c r="F10">
        <v>763.55</v>
      </c>
      <c r="G10">
        <v>2022</v>
      </c>
      <c r="H10" s="7">
        <f t="shared" si="1"/>
        <v>-5.001555209953349E-2</v>
      </c>
      <c r="I10">
        <v>2024</v>
      </c>
      <c r="J10">
        <f t="shared" si="0"/>
        <v>772.27</v>
      </c>
      <c r="M10">
        <f>(F10-B3)/B7</f>
        <v>-0.27778556692844225</v>
      </c>
    </row>
    <row r="11" spans="1:13" x14ac:dyDescent="0.2">
      <c r="A11" s="4" t="s">
        <v>15</v>
      </c>
      <c r="B11" s="4">
        <v>120.95000000000005</v>
      </c>
      <c r="E11">
        <v>2023</v>
      </c>
      <c r="F11">
        <v>732.58</v>
      </c>
      <c r="G11">
        <v>2023</v>
      </c>
      <c r="H11" s="7">
        <f t="shared" si="1"/>
        <v>-4.0560539584833889E-2</v>
      </c>
      <c r="M11">
        <f>(F11-B3)/B7</f>
        <v>-1.0052856367740197</v>
      </c>
    </row>
    <row r="12" spans="1:13" x14ac:dyDescent="0.2">
      <c r="A12" s="4" t="s">
        <v>16</v>
      </c>
      <c r="B12" s="4">
        <v>708</v>
      </c>
      <c r="E12">
        <v>2024</v>
      </c>
      <c r="F12">
        <v>820.68</v>
      </c>
      <c r="G12">
        <v>2024</v>
      </c>
      <c r="H12" s="7">
        <f t="shared" si="1"/>
        <v>0.12025990335526482</v>
      </c>
      <c r="M12">
        <f>(F12-B3)/B7</f>
        <v>1.064225378834488</v>
      </c>
    </row>
    <row r="13" spans="1:13" x14ac:dyDescent="0.2">
      <c r="A13" s="4" t="s">
        <v>17</v>
      </c>
      <c r="B13" s="4">
        <v>828.95</v>
      </c>
    </row>
    <row r="14" spans="1:13" x14ac:dyDescent="0.2">
      <c r="A14" s="4" t="s">
        <v>18</v>
      </c>
      <c r="B14" s="4">
        <v>8529.1299999999992</v>
      </c>
    </row>
    <row r="15" spans="1:13" ht="17" thickBot="1" x14ac:dyDescent="0.25">
      <c r="A15" s="5" t="s">
        <v>19</v>
      </c>
      <c r="B15" s="5">
        <v>11</v>
      </c>
    </row>
  </sheetData>
  <pageMargins left="0.7" right="0.7" top="0.75" bottom="0.75" header="0.3" footer="0.3"/>
  <ignoredErrors>
    <ignoredError sqref="J2:J10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15D3-4752-4A47-8820-9F306E7501AC}">
  <dimension ref="A1:L15"/>
  <sheetViews>
    <sheetView workbookViewId="0">
      <selection activeCell="L22" sqref="L22"/>
    </sheetView>
  </sheetViews>
  <sheetFormatPr baseColWidth="10" defaultRowHeight="16" x14ac:dyDescent="0.2"/>
  <cols>
    <col min="1" max="1" width="16.83203125" bestFit="1" customWidth="1"/>
    <col min="5" max="5" width="32.6640625" bestFit="1" customWidth="1"/>
    <col min="7" max="7" width="18.5" bestFit="1" customWidth="1"/>
    <col min="9" max="9" width="15.1640625" bestFit="1" customWidth="1"/>
    <col min="10" max="10" width="12.1640625" bestFit="1" customWidth="1"/>
    <col min="12" max="12" width="37.83203125" bestFit="1" customWidth="1"/>
  </cols>
  <sheetData>
    <row r="1" spans="1:12" x14ac:dyDescent="0.2">
      <c r="A1" s="6" t="s">
        <v>2</v>
      </c>
      <c r="B1" s="6"/>
      <c r="D1" s="3" t="s">
        <v>0</v>
      </c>
      <c r="E1" s="3" t="s">
        <v>2</v>
      </c>
      <c r="F1" t="s">
        <v>24</v>
      </c>
      <c r="G1" t="s">
        <v>23</v>
      </c>
      <c r="H1" t="s">
        <v>24</v>
      </c>
      <c r="I1" t="s">
        <v>25</v>
      </c>
      <c r="J1" t="s">
        <v>22</v>
      </c>
      <c r="L1" t="s">
        <v>57</v>
      </c>
    </row>
    <row r="2" spans="1:12" x14ac:dyDescent="0.2">
      <c r="A2" s="4"/>
      <c r="B2" s="4"/>
      <c r="D2">
        <v>2014</v>
      </c>
      <c r="E2">
        <v>5933.5</v>
      </c>
      <c r="J2" s="9">
        <f>(E12/E2)^(1/10)-1</f>
        <v>-2.4077940998116665E-2</v>
      </c>
      <c r="L2">
        <f>(E2-B3)/B7</f>
        <v>-0.56787436488737097</v>
      </c>
    </row>
    <row r="3" spans="1:12" x14ac:dyDescent="0.2">
      <c r="A3" s="4" t="s">
        <v>7</v>
      </c>
      <c r="B3" s="4">
        <v>6383.2818181818184</v>
      </c>
      <c r="D3">
        <v>2015</v>
      </c>
      <c r="E3" s="10">
        <v>6313.8</v>
      </c>
      <c r="F3">
        <v>2015</v>
      </c>
      <c r="G3" s="9">
        <f>(E3-E2)/E2</f>
        <v>6.4093705232999107E-2</v>
      </c>
      <c r="L3">
        <f>(E3-B3)/B7</f>
        <v>-8.7724629534201945E-2</v>
      </c>
    </row>
    <row r="4" spans="1:12" x14ac:dyDescent="0.2">
      <c r="A4" s="4" t="s">
        <v>8</v>
      </c>
      <c r="B4" s="4">
        <v>238.81042912287168</v>
      </c>
      <c r="D4">
        <v>2016</v>
      </c>
      <c r="E4">
        <v>5997.6</v>
      </c>
      <c r="F4">
        <v>2016</v>
      </c>
      <c r="G4" s="9">
        <f t="shared" ref="G4:G12" si="0">(E4-E3)/E3</f>
        <v>-5.0080775444264911E-2</v>
      </c>
      <c r="H4">
        <v>2016</v>
      </c>
      <c r="I4" s="8">
        <f>AVERAGE(E2:E4)</f>
        <v>6081.6333333333341</v>
      </c>
      <c r="L4">
        <f>(E4-B3)/B7</f>
        <v>-0.48694457778209016</v>
      </c>
    </row>
    <row r="5" spans="1:12" x14ac:dyDescent="0.2">
      <c r="A5" s="4" t="s">
        <v>9</v>
      </c>
      <c r="B5" s="4">
        <v>6320.2</v>
      </c>
      <c r="D5">
        <v>2017</v>
      </c>
      <c r="E5">
        <v>6320.2</v>
      </c>
      <c r="F5">
        <v>2017</v>
      </c>
      <c r="G5" s="9">
        <f t="shared" si="0"/>
        <v>5.3788181939442348E-2</v>
      </c>
      <c r="H5">
        <v>2017</v>
      </c>
      <c r="I5" s="8">
        <f t="shared" ref="I5:I12" si="1">AVERAGE(E3:E5)</f>
        <v>6210.5333333333338</v>
      </c>
      <c r="L5">
        <f>(E5-B3)/B7</f>
        <v>-7.9644276375484865E-2</v>
      </c>
    </row>
    <row r="6" spans="1:12" x14ac:dyDescent="0.2">
      <c r="A6" s="4" t="s">
        <v>10</v>
      </c>
      <c r="B6" s="4">
        <v>6551.3</v>
      </c>
      <c r="D6">
        <v>2018</v>
      </c>
      <c r="E6">
        <v>6829.5</v>
      </c>
      <c r="F6">
        <v>2018</v>
      </c>
      <c r="G6" s="9">
        <f t="shared" si="0"/>
        <v>8.0582892946425774E-2</v>
      </c>
      <c r="H6">
        <v>2018</v>
      </c>
      <c r="I6" s="8">
        <f t="shared" si="1"/>
        <v>6382.4333333333334</v>
      </c>
      <c r="L6">
        <f>(E6-B3)/B7</f>
        <v>0.56337507733308456</v>
      </c>
    </row>
    <row r="7" spans="1:12" x14ac:dyDescent="0.2">
      <c r="A7" s="4" t="s">
        <v>11</v>
      </c>
      <c r="B7" s="4">
        <v>792.04458942432734</v>
      </c>
      <c r="D7">
        <v>2019</v>
      </c>
      <c r="E7">
        <v>6551.3</v>
      </c>
      <c r="F7">
        <v>2019</v>
      </c>
      <c r="G7" s="9">
        <f t="shared" si="0"/>
        <v>-4.0735046489494081E-2</v>
      </c>
      <c r="H7">
        <v>2019</v>
      </c>
      <c r="I7" s="8">
        <f t="shared" si="1"/>
        <v>6567</v>
      </c>
      <c r="L7">
        <f>(E7-B3)/B7</f>
        <v>0.21213222596508174</v>
      </c>
    </row>
    <row r="8" spans="1:12" x14ac:dyDescent="0.2">
      <c r="A8" s="4" t="s">
        <v>12</v>
      </c>
      <c r="B8" s="4">
        <v>627334.63163635135</v>
      </c>
      <c r="D8">
        <v>2020</v>
      </c>
      <c r="E8">
        <v>6062.8</v>
      </c>
      <c r="F8">
        <v>2020</v>
      </c>
      <c r="G8" s="9">
        <f t="shared" si="0"/>
        <v>-7.4565353441301718E-2</v>
      </c>
      <c r="H8">
        <v>2020</v>
      </c>
      <c r="I8" s="8">
        <f t="shared" si="1"/>
        <v>6481.2</v>
      </c>
      <c r="L8">
        <f>(E8-B3)/B7</f>
        <v>-0.40462597997765543</v>
      </c>
    </row>
    <row r="9" spans="1:12" x14ac:dyDescent="0.2">
      <c r="A9" s="4" t="s">
        <v>13</v>
      </c>
      <c r="B9" s="4">
        <v>1.7087515978847474</v>
      </c>
      <c r="D9">
        <v>2021</v>
      </c>
      <c r="E9">
        <v>6551.3</v>
      </c>
      <c r="F9">
        <v>2021</v>
      </c>
      <c r="G9" s="9">
        <f t="shared" si="0"/>
        <v>8.057333245365178E-2</v>
      </c>
      <c r="H9">
        <v>2021</v>
      </c>
      <c r="I9" s="8">
        <f t="shared" si="1"/>
        <v>6388.4666666666672</v>
      </c>
      <c r="L9">
        <f>(E9-B3)/B7</f>
        <v>0.21213222596508174</v>
      </c>
    </row>
    <row r="10" spans="1:12" x14ac:dyDescent="0.2">
      <c r="A10" s="4" t="s">
        <v>14</v>
      </c>
      <c r="B10" s="4">
        <v>-0.57440857627467878</v>
      </c>
      <c r="D10">
        <v>2022</v>
      </c>
      <c r="E10">
        <v>7355.1</v>
      </c>
      <c r="F10">
        <v>2022</v>
      </c>
      <c r="G10" s="9">
        <f t="shared" si="0"/>
        <v>0.12269320592859435</v>
      </c>
      <c r="H10">
        <v>2022</v>
      </c>
      <c r="I10" s="8">
        <f t="shared" si="1"/>
        <v>6656.4000000000005</v>
      </c>
      <c r="L10">
        <f>(E10-B3)/B7</f>
        <v>1.2269740804927629</v>
      </c>
    </row>
    <row r="11" spans="1:12" x14ac:dyDescent="0.2">
      <c r="A11" s="4" t="s">
        <v>15</v>
      </c>
      <c r="B11" s="4">
        <v>3000.7999999999993</v>
      </c>
      <c r="D11">
        <v>2023</v>
      </c>
      <c r="E11">
        <v>7650.9</v>
      </c>
      <c r="F11">
        <v>2023</v>
      </c>
      <c r="G11" s="9">
        <f t="shared" si="0"/>
        <v>4.0216992291063243E-2</v>
      </c>
      <c r="H11">
        <v>2023</v>
      </c>
      <c r="I11" s="8">
        <f t="shared" si="1"/>
        <v>7185.7666666666673</v>
      </c>
      <c r="L11">
        <f>(E11-B3)/B7</f>
        <v>1.6004379030472382</v>
      </c>
    </row>
    <row r="12" spans="1:12" x14ac:dyDescent="0.2">
      <c r="A12" s="4" t="s">
        <v>16</v>
      </c>
      <c r="B12" s="4">
        <v>4650.1000000000004</v>
      </c>
      <c r="D12">
        <v>2024</v>
      </c>
      <c r="E12">
        <v>4650.1000000000004</v>
      </c>
      <c r="F12">
        <v>2024</v>
      </c>
      <c r="G12" s="9">
        <f t="shared" si="0"/>
        <v>-0.39221529493262225</v>
      </c>
      <c r="H12">
        <v>2024</v>
      </c>
      <c r="I12" s="8">
        <f t="shared" si="1"/>
        <v>6552.0333333333328</v>
      </c>
      <c r="L12">
        <f>(E12-B3)/B7</f>
        <v>-2.188237684246447</v>
      </c>
    </row>
    <row r="13" spans="1:12" x14ac:dyDescent="0.2">
      <c r="A13" s="4" t="s">
        <v>17</v>
      </c>
      <c r="B13" s="4">
        <v>7650.9</v>
      </c>
    </row>
    <row r="14" spans="1:12" x14ac:dyDescent="0.2">
      <c r="A14" s="4" t="s">
        <v>18</v>
      </c>
      <c r="B14" s="4">
        <v>70216.100000000006</v>
      </c>
    </row>
    <row r="15" spans="1:12" ht="17" thickBot="1" x14ac:dyDescent="0.25">
      <c r="A15" s="5" t="s">
        <v>19</v>
      </c>
      <c r="B15" s="5">
        <v>11</v>
      </c>
    </row>
  </sheetData>
  <pageMargins left="0.7" right="0.7" top="0.75" bottom="0.75" header="0.3" footer="0.3"/>
  <ignoredErrors>
    <ignoredError sqref="I4:I1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F391-6857-D74C-B827-1EFBE52DC94E}">
  <dimension ref="A1:L15"/>
  <sheetViews>
    <sheetView workbookViewId="0">
      <selection activeCell="M10" sqref="M10"/>
    </sheetView>
  </sheetViews>
  <sheetFormatPr baseColWidth="10" defaultRowHeight="16" x14ac:dyDescent="0.2"/>
  <cols>
    <col min="1" max="1" width="16.83203125" bestFit="1" customWidth="1"/>
    <col min="7" max="7" width="18.6640625" bestFit="1" customWidth="1"/>
    <col min="9" max="9" width="15" bestFit="1" customWidth="1"/>
    <col min="10" max="10" width="12.1640625" bestFit="1" customWidth="1"/>
    <col min="12" max="12" width="20.83203125" bestFit="1" customWidth="1"/>
  </cols>
  <sheetData>
    <row r="1" spans="1:12" x14ac:dyDescent="0.2">
      <c r="A1" s="6" t="s">
        <v>3</v>
      </c>
      <c r="B1" s="6"/>
      <c r="D1" s="3" t="s">
        <v>0</v>
      </c>
      <c r="E1" s="3" t="s">
        <v>3</v>
      </c>
      <c r="F1" t="s">
        <v>24</v>
      </c>
      <c r="G1" t="s">
        <v>26</v>
      </c>
      <c r="H1" t="s">
        <v>24</v>
      </c>
      <c r="I1" t="s">
        <v>27</v>
      </c>
      <c r="J1" t="s">
        <v>22</v>
      </c>
      <c r="L1" t="s">
        <v>58</v>
      </c>
    </row>
    <row r="2" spans="1:12" x14ac:dyDescent="0.2">
      <c r="A2" s="4"/>
      <c r="B2" s="4"/>
      <c r="D2">
        <v>2014</v>
      </c>
      <c r="E2">
        <v>923.76359464863197</v>
      </c>
      <c r="J2" s="9">
        <f>(E12/E2)^(1/10)-1</f>
        <v>-2.3164646358853735E-2</v>
      </c>
      <c r="L2">
        <f>(E2-B3)/B7</f>
        <v>-0.26082917952528056</v>
      </c>
    </row>
    <row r="3" spans="1:12" x14ac:dyDescent="0.2">
      <c r="A3" s="4" t="s">
        <v>7</v>
      </c>
      <c r="B3" s="4">
        <v>956.27397494409092</v>
      </c>
      <c r="D3">
        <v>2015</v>
      </c>
      <c r="E3">
        <v>885.45599608340797</v>
      </c>
      <c r="F3">
        <v>2015</v>
      </c>
      <c r="G3" s="9">
        <f>(E3-E2)/E2</f>
        <v>-4.1469049859877725E-2</v>
      </c>
      <c r="L3">
        <f>(E3-B3)/B7</f>
        <v>-0.56816915563582859</v>
      </c>
    </row>
    <row r="4" spans="1:12" x14ac:dyDescent="0.2">
      <c r="A4" s="4" t="s">
        <v>8</v>
      </c>
      <c r="B4" s="4">
        <v>37.581103822274578</v>
      </c>
      <c r="D4">
        <v>2016</v>
      </c>
      <c r="E4">
        <v>948.39367719348797</v>
      </c>
      <c r="F4">
        <v>2016</v>
      </c>
      <c r="G4" s="9">
        <f t="shared" ref="G4:G12" si="0">(E4-E3)/E3</f>
        <v>7.1079400205621757E-2</v>
      </c>
      <c r="H4">
        <v>2016</v>
      </c>
      <c r="I4">
        <f>AVERAGE(E2:E4)</f>
        <v>919.2044226418426</v>
      </c>
      <c r="L4">
        <f>(E4-B3)/B7</f>
        <v>-6.3223240639599054E-2</v>
      </c>
    </row>
    <row r="5" spans="1:12" x14ac:dyDescent="0.2">
      <c r="A5" s="4" t="s">
        <v>9</v>
      </c>
      <c r="B5" s="4">
        <v>948.39367719348797</v>
      </c>
      <c r="D5">
        <v>2017</v>
      </c>
      <c r="E5">
        <v>1184.1702573002201</v>
      </c>
      <c r="F5">
        <v>2017</v>
      </c>
      <c r="G5" s="9">
        <f t="shared" si="0"/>
        <v>0.24860623365230408</v>
      </c>
      <c r="H5">
        <v>2017</v>
      </c>
      <c r="I5">
        <f t="shared" ref="I5:I12" si="1">AVERAGE(E3:E5)</f>
        <v>1006.0066435257053</v>
      </c>
      <c r="L5">
        <f>(E5-B3)/B7</f>
        <v>1.8284006463041493</v>
      </c>
    </row>
    <row r="6" spans="1:12" x14ac:dyDescent="0.2">
      <c r="A6" s="4" t="s">
        <v>10</v>
      </c>
      <c r="B6" s="4" t="e">
        <v>#N/A</v>
      </c>
      <c r="D6">
        <v>2018</v>
      </c>
      <c r="E6">
        <v>960.88389599271704</v>
      </c>
      <c r="F6">
        <v>2018</v>
      </c>
      <c r="G6" s="9">
        <f t="shared" si="0"/>
        <v>-0.18855933927657648</v>
      </c>
      <c r="H6">
        <v>2018</v>
      </c>
      <c r="I6">
        <f t="shared" si="1"/>
        <v>1031.1492768288083</v>
      </c>
      <c r="L6">
        <f>(E6-B3)/B7</f>
        <v>3.6985169470854298E-2</v>
      </c>
    </row>
    <row r="7" spans="1:12" x14ac:dyDescent="0.2">
      <c r="A7" s="4" t="s">
        <v>11</v>
      </c>
      <c r="B7" s="4">
        <v>124.64242058587594</v>
      </c>
      <c r="D7">
        <v>2019</v>
      </c>
      <c r="E7">
        <v>837.87890846719995</v>
      </c>
      <c r="F7">
        <v>2019</v>
      </c>
      <c r="G7" s="9">
        <f t="shared" si="0"/>
        <v>-0.12801233118641983</v>
      </c>
      <c r="H7">
        <v>2019</v>
      </c>
      <c r="I7">
        <f t="shared" si="1"/>
        <v>994.3110205867124</v>
      </c>
      <c r="L7">
        <f>(E7-B3)/B7</f>
        <v>-0.94987778575207726</v>
      </c>
    </row>
    <row r="8" spans="1:12" x14ac:dyDescent="0.2">
      <c r="A8" s="4" t="s">
        <v>12</v>
      </c>
      <c r="B8" s="4">
        <v>15535.73300950639</v>
      </c>
      <c r="D8">
        <v>2020</v>
      </c>
      <c r="E8">
        <v>1064.3742797283001</v>
      </c>
      <c r="F8">
        <v>2020</v>
      </c>
      <c r="G8" s="9">
        <f t="shared" si="0"/>
        <v>0.27031993402894761</v>
      </c>
      <c r="H8">
        <v>2020</v>
      </c>
      <c r="I8">
        <f t="shared" si="1"/>
        <v>954.37902806273905</v>
      </c>
      <c r="L8">
        <f>(E8-B3)/B7</f>
        <v>0.86728341985087132</v>
      </c>
    </row>
    <row r="9" spans="1:12" x14ac:dyDescent="0.2">
      <c r="A9" s="4" t="s">
        <v>13</v>
      </c>
      <c r="B9" s="4">
        <v>0.4151705288687344</v>
      </c>
      <c r="D9">
        <v>2021</v>
      </c>
      <c r="E9">
        <v>924.96608296441798</v>
      </c>
      <c r="F9">
        <v>2021</v>
      </c>
      <c r="G9" s="9">
        <f t="shared" si="0"/>
        <v>-0.13097666809411104</v>
      </c>
      <c r="H9">
        <v>2021</v>
      </c>
      <c r="I9">
        <f t="shared" si="1"/>
        <v>942.40642371997274</v>
      </c>
      <c r="L9">
        <f>(E9-B3)/B7</f>
        <v>-0.25118167500688487</v>
      </c>
    </row>
    <row r="10" spans="1:12" x14ac:dyDescent="0.2">
      <c r="A10" s="4" t="s">
        <v>14</v>
      </c>
      <c r="B10" s="4">
        <v>0.14608383263664301</v>
      </c>
      <c r="D10">
        <v>2022</v>
      </c>
      <c r="E10">
        <v>1096.61335231925</v>
      </c>
      <c r="F10">
        <v>2022</v>
      </c>
      <c r="G10" s="9">
        <f t="shared" si="0"/>
        <v>0.18557141987814382</v>
      </c>
      <c r="H10">
        <v>2022</v>
      </c>
      <c r="I10">
        <f t="shared" si="1"/>
        <v>1028.6512383373226</v>
      </c>
      <c r="L10">
        <f>(E10-B3)/B7</f>
        <v>1.1259359110285272</v>
      </c>
    </row>
    <row r="11" spans="1:12" x14ac:dyDescent="0.2">
      <c r="A11" s="4" t="s">
        <v>15</v>
      </c>
      <c r="B11" s="4">
        <v>453.4106480024941</v>
      </c>
      <c r="D11">
        <v>2023</v>
      </c>
      <c r="E11">
        <v>961.75407038964102</v>
      </c>
      <c r="F11">
        <v>2023</v>
      </c>
      <c r="G11" s="9">
        <f t="shared" si="0"/>
        <v>-0.12297796816388595</v>
      </c>
      <c r="H11">
        <v>2023</v>
      </c>
      <c r="I11">
        <f t="shared" si="1"/>
        <v>994.44450189110296</v>
      </c>
      <c r="L11">
        <f>(E11-B3)/B7</f>
        <v>4.3966535789269463E-2</v>
      </c>
    </row>
    <row r="12" spans="1:12" x14ac:dyDescent="0.2">
      <c r="A12" s="4" t="s">
        <v>16</v>
      </c>
      <c r="B12" s="4">
        <v>730.759609297726</v>
      </c>
      <c r="D12">
        <v>2024</v>
      </c>
      <c r="E12">
        <v>730.759609297726</v>
      </c>
      <c r="F12">
        <v>2024</v>
      </c>
      <c r="G12" s="9">
        <f t="shared" si="0"/>
        <v>-0.24018038311845238</v>
      </c>
      <c r="H12">
        <v>2024</v>
      </c>
      <c r="I12">
        <f t="shared" si="1"/>
        <v>929.70901066887234</v>
      </c>
      <c r="L12">
        <f>(E12-B3)/B7</f>
        <v>-1.8092906458840021</v>
      </c>
    </row>
    <row r="13" spans="1:12" x14ac:dyDescent="0.2">
      <c r="A13" s="4" t="s">
        <v>17</v>
      </c>
      <c r="B13" s="4">
        <v>1184.1702573002201</v>
      </c>
    </row>
    <row r="14" spans="1:12" x14ac:dyDescent="0.2">
      <c r="A14" s="4" t="s">
        <v>18</v>
      </c>
      <c r="B14" s="4">
        <v>10519.013724385</v>
      </c>
    </row>
    <row r="15" spans="1:12" ht="17" thickBot="1" x14ac:dyDescent="0.25">
      <c r="A15" s="5" t="s">
        <v>19</v>
      </c>
      <c r="B15" s="5">
        <v>11</v>
      </c>
    </row>
  </sheetData>
  <pageMargins left="0.7" right="0.7" top="0.75" bottom="0.75" header="0.3" footer="0.3"/>
  <ignoredErrors>
    <ignoredError sqref="I4:I12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4D23-1784-3643-BCEE-4C4C34447EEB}">
  <dimension ref="A1:K52"/>
  <sheetViews>
    <sheetView workbookViewId="0">
      <selection activeCell="D17" sqref="D17"/>
    </sheetView>
  </sheetViews>
  <sheetFormatPr baseColWidth="10" defaultRowHeight="16" x14ac:dyDescent="0.2"/>
  <cols>
    <col min="1" max="1" width="5.5" bestFit="1" customWidth="1"/>
    <col min="2" max="3" width="27.33203125" bestFit="1" customWidth="1"/>
    <col min="4" max="4" width="46.33203125" customWidth="1"/>
    <col min="5" max="5" width="32.6640625" bestFit="1" customWidth="1"/>
    <col min="6" max="7" width="19.33203125" customWidth="1"/>
  </cols>
  <sheetData>
    <row r="1" spans="1:7" x14ac:dyDescent="0.2">
      <c r="A1" s="3" t="s">
        <v>0</v>
      </c>
      <c r="B1" s="3" t="s">
        <v>5</v>
      </c>
      <c r="C1" s="3" t="s">
        <v>1</v>
      </c>
      <c r="D1" s="3" t="s">
        <v>6</v>
      </c>
      <c r="E1" s="3" t="s">
        <v>2</v>
      </c>
      <c r="F1" s="3" t="s">
        <v>3</v>
      </c>
      <c r="G1" s="3" t="s">
        <v>4</v>
      </c>
    </row>
    <row r="2" spans="1:7" x14ac:dyDescent="0.2">
      <c r="A2">
        <v>2014</v>
      </c>
      <c r="B2" s="2">
        <v>14443</v>
      </c>
      <c r="C2">
        <v>41</v>
      </c>
      <c r="D2">
        <v>708</v>
      </c>
      <c r="E2">
        <v>5933.5</v>
      </c>
      <c r="F2">
        <v>923.76359464863197</v>
      </c>
      <c r="G2">
        <v>22.155337998870799</v>
      </c>
    </row>
    <row r="3" spans="1:7" x14ac:dyDescent="0.2">
      <c r="A3">
        <v>2015</v>
      </c>
      <c r="B3" s="2">
        <v>13440</v>
      </c>
      <c r="C3">
        <v>54.5</v>
      </c>
      <c r="D3">
        <v>710.56</v>
      </c>
      <c r="E3" s="1">
        <v>6313.8</v>
      </c>
      <c r="F3">
        <v>885.45599608340797</v>
      </c>
      <c r="G3">
        <v>22.298688303436101</v>
      </c>
    </row>
    <row r="4" spans="1:7" x14ac:dyDescent="0.2">
      <c r="A4">
        <v>2016</v>
      </c>
      <c r="B4">
        <v>11696</v>
      </c>
      <c r="C4">
        <v>54.5</v>
      </c>
      <c r="D4">
        <v>770.59</v>
      </c>
      <c r="E4">
        <v>5997.6</v>
      </c>
      <c r="F4">
        <v>948.39367719348797</v>
      </c>
      <c r="G4">
        <v>22.463362842243701</v>
      </c>
    </row>
    <row r="5" spans="1:7" x14ac:dyDescent="0.2">
      <c r="A5">
        <v>2017</v>
      </c>
      <c r="B5" s="2">
        <v>14460</v>
      </c>
      <c r="C5">
        <v>50.9</v>
      </c>
      <c r="D5">
        <v>786.73</v>
      </c>
      <c r="E5">
        <v>6320.2</v>
      </c>
      <c r="F5">
        <v>1184.1702573002201</v>
      </c>
      <c r="G5">
        <v>21.880242965427001</v>
      </c>
    </row>
    <row r="6" spans="1:7" x14ac:dyDescent="0.2">
      <c r="A6">
        <v>2018</v>
      </c>
      <c r="B6">
        <v>16190</v>
      </c>
      <c r="C6">
        <v>51.08</v>
      </c>
      <c r="D6">
        <v>809.84</v>
      </c>
      <c r="E6">
        <v>6829.5</v>
      </c>
      <c r="F6">
        <v>960.88389599271704</v>
      </c>
      <c r="G6">
        <v>22.2009802301415</v>
      </c>
    </row>
    <row r="7" spans="1:7" x14ac:dyDescent="0.2">
      <c r="A7">
        <v>2019</v>
      </c>
      <c r="B7" s="2">
        <v>15039.33</v>
      </c>
      <c r="C7">
        <v>50.77</v>
      </c>
      <c r="D7">
        <v>793.9</v>
      </c>
      <c r="E7">
        <v>6551.3</v>
      </c>
      <c r="F7">
        <v>837.87890846719995</v>
      </c>
      <c r="G7">
        <v>22.612421256109901</v>
      </c>
    </row>
    <row r="8" spans="1:7" x14ac:dyDescent="0.2">
      <c r="A8">
        <v>2020</v>
      </c>
      <c r="B8" s="2">
        <v>15159</v>
      </c>
      <c r="C8">
        <v>51</v>
      </c>
      <c r="D8">
        <v>828.95</v>
      </c>
      <c r="E8">
        <v>6062.8</v>
      </c>
      <c r="F8">
        <v>1064.3742797283001</v>
      </c>
      <c r="G8">
        <v>22.096103144632501</v>
      </c>
    </row>
    <row r="9" spans="1:7" x14ac:dyDescent="0.2">
      <c r="A9">
        <v>2021</v>
      </c>
      <c r="B9" s="2">
        <v>17636</v>
      </c>
      <c r="C9">
        <v>47</v>
      </c>
      <c r="D9">
        <v>803.75</v>
      </c>
      <c r="E9">
        <v>6551.3</v>
      </c>
      <c r="F9">
        <v>924.96608296441798</v>
      </c>
      <c r="G9">
        <v>21.9533787886248</v>
      </c>
    </row>
    <row r="10" spans="1:7" x14ac:dyDescent="0.2">
      <c r="A10">
        <v>2022</v>
      </c>
      <c r="B10" s="2">
        <v>19458.88</v>
      </c>
      <c r="C10">
        <v>48</v>
      </c>
      <c r="D10">
        <v>763.55</v>
      </c>
      <c r="E10">
        <v>7355.1</v>
      </c>
      <c r="F10">
        <v>1096.61335231925</v>
      </c>
      <c r="G10">
        <v>21.587005623777301</v>
      </c>
    </row>
    <row r="11" spans="1:7" x14ac:dyDescent="0.2">
      <c r="A11">
        <v>2023</v>
      </c>
      <c r="B11" s="2">
        <v>19372.93</v>
      </c>
      <c r="C11">
        <v>39</v>
      </c>
      <c r="D11">
        <v>732.58</v>
      </c>
      <c r="E11">
        <v>7650.9</v>
      </c>
      <c r="F11">
        <v>961.75407038964102</v>
      </c>
      <c r="G11">
        <v>22.558808243052699</v>
      </c>
    </row>
    <row r="12" spans="1:7" x14ac:dyDescent="0.2">
      <c r="A12">
        <v>2024</v>
      </c>
      <c r="B12" s="2">
        <v>13317</v>
      </c>
      <c r="C12">
        <v>35</v>
      </c>
      <c r="D12">
        <v>820.68</v>
      </c>
      <c r="E12">
        <v>4650.1000000000004</v>
      </c>
      <c r="F12">
        <v>730.759609297726</v>
      </c>
      <c r="G12">
        <v>22.824268768392798</v>
      </c>
    </row>
    <row r="17" spans="1:8" x14ac:dyDescent="0.2">
      <c r="A17" s="3"/>
      <c r="B17" s="3"/>
      <c r="C17" s="3"/>
      <c r="D17" s="3"/>
    </row>
    <row r="18" spans="1:8" x14ac:dyDescent="0.2">
      <c r="C18" t="s">
        <v>28</v>
      </c>
    </row>
    <row r="19" spans="1:8" ht="17" thickBot="1" x14ac:dyDescent="0.25"/>
    <row r="20" spans="1:8" x14ac:dyDescent="0.2">
      <c r="C20" s="6" t="s">
        <v>29</v>
      </c>
      <c r="D20" s="6"/>
    </row>
    <row r="21" spans="1:8" x14ac:dyDescent="0.2">
      <c r="C21" s="4" t="s">
        <v>30</v>
      </c>
      <c r="D21" s="4">
        <v>0.30321003497462856</v>
      </c>
    </row>
    <row r="22" spans="1:8" x14ac:dyDescent="0.2">
      <c r="C22" s="4" t="s">
        <v>31</v>
      </c>
      <c r="D22" s="4">
        <v>9.1936325309315461E-2</v>
      </c>
    </row>
    <row r="23" spans="1:8" x14ac:dyDescent="0.2">
      <c r="C23" s="4" t="s">
        <v>32</v>
      </c>
      <c r="D23" s="4">
        <v>-8.9596385452050467E-3</v>
      </c>
    </row>
    <row r="24" spans="1:8" x14ac:dyDescent="0.2">
      <c r="C24" s="4" t="s">
        <v>8</v>
      </c>
      <c r="D24" s="4">
        <v>42.760725272274307</v>
      </c>
    </row>
    <row r="25" spans="1:8" ht="17" thickBot="1" x14ac:dyDescent="0.25">
      <c r="C25" s="5" t="s">
        <v>33</v>
      </c>
      <c r="D25" s="5">
        <v>11</v>
      </c>
    </row>
    <row r="27" spans="1:8" ht="17" thickBot="1" x14ac:dyDescent="0.25">
      <c r="C27" t="s">
        <v>34</v>
      </c>
    </row>
    <row r="28" spans="1:8" x14ac:dyDescent="0.2">
      <c r="C28" s="11"/>
      <c r="D28" s="11" t="s">
        <v>39</v>
      </c>
      <c r="E28" s="11" t="s">
        <v>40</v>
      </c>
      <c r="F28" s="11" t="s">
        <v>41</v>
      </c>
      <c r="G28" s="11" t="s">
        <v>42</v>
      </c>
      <c r="H28" s="11" t="s">
        <v>43</v>
      </c>
    </row>
    <row r="29" spans="1:8" x14ac:dyDescent="0.2">
      <c r="C29" s="4" t="s">
        <v>35</v>
      </c>
      <c r="D29" s="4">
        <v>1</v>
      </c>
      <c r="E29" s="4">
        <v>1666.1092404290102</v>
      </c>
      <c r="F29" s="4">
        <v>1666.1092404290102</v>
      </c>
      <c r="G29" s="4">
        <v>0.91119923728441965</v>
      </c>
      <c r="H29" s="4">
        <v>0.36473055381284614</v>
      </c>
    </row>
    <row r="30" spans="1:8" x14ac:dyDescent="0.2">
      <c r="C30" s="4" t="s">
        <v>36</v>
      </c>
      <c r="D30" s="4">
        <v>9</v>
      </c>
      <c r="E30" s="4">
        <v>16456.316632298269</v>
      </c>
      <c r="F30" s="4">
        <v>1828.4796258109188</v>
      </c>
      <c r="G30" s="4"/>
      <c r="H30" s="4"/>
    </row>
    <row r="31" spans="1:8" ht="17" thickBot="1" x14ac:dyDescent="0.25">
      <c r="C31" s="5" t="s">
        <v>37</v>
      </c>
      <c r="D31" s="5">
        <v>10</v>
      </c>
      <c r="E31" s="5">
        <v>18122.425872727279</v>
      </c>
      <c r="F31" s="5"/>
      <c r="G31" s="5"/>
      <c r="H31" s="5"/>
    </row>
    <row r="32" spans="1:8" ht="17" thickBot="1" x14ac:dyDescent="0.25"/>
    <row r="33" spans="3:11" x14ac:dyDescent="0.2">
      <c r="C33" s="11"/>
      <c r="D33" s="11" t="s">
        <v>44</v>
      </c>
      <c r="E33" s="11" t="s">
        <v>8</v>
      </c>
      <c r="F33" s="11" t="s">
        <v>45</v>
      </c>
      <c r="G33" s="11" t="s">
        <v>46</v>
      </c>
      <c r="H33" s="11" t="s">
        <v>47</v>
      </c>
      <c r="I33" s="11" t="s">
        <v>48</v>
      </c>
      <c r="J33" s="11" t="s">
        <v>49</v>
      </c>
      <c r="K33" s="11" t="s">
        <v>50</v>
      </c>
    </row>
    <row r="34" spans="3:11" x14ac:dyDescent="0.2">
      <c r="C34" s="4" t="s">
        <v>38</v>
      </c>
      <c r="D34" s="4">
        <v>879.40246638831979</v>
      </c>
      <c r="E34" s="4">
        <v>109.73815938021799</v>
      </c>
      <c r="F34" s="4">
        <v>8.0136433065310353</v>
      </c>
      <c r="G34" s="4">
        <v>2.1835468082891993E-5</v>
      </c>
      <c r="H34" s="4">
        <v>631.15750311406862</v>
      </c>
      <c r="I34" s="4">
        <v>1127.6474296625711</v>
      </c>
      <c r="J34" s="4">
        <v>631.15750311406862</v>
      </c>
      <c r="K34" s="4">
        <v>1127.6474296625711</v>
      </c>
    </row>
    <row r="35" spans="3:11" ht="17" thickBot="1" x14ac:dyDescent="0.25">
      <c r="C35" s="5" t="s">
        <v>2</v>
      </c>
      <c r="D35" s="5">
        <v>-1.6296791338048098E-2</v>
      </c>
      <c r="E35" s="5">
        <v>1.7072433555715659E-2</v>
      </c>
      <c r="F35" s="5">
        <v>-0.95456756559419231</v>
      </c>
      <c r="G35" s="5">
        <v>0.36473055381284536</v>
      </c>
      <c r="H35" s="5">
        <v>-5.4917319192506711E-2</v>
      </c>
      <c r="I35" s="5">
        <v>2.2323736516410512E-2</v>
      </c>
      <c r="J35" s="5">
        <v>-5.4917319192506711E-2</v>
      </c>
      <c r="K35" s="5">
        <v>2.2323736516410512E-2</v>
      </c>
    </row>
    <row r="39" spans="3:11" x14ac:dyDescent="0.2">
      <c r="C39" t="s">
        <v>51</v>
      </c>
    </row>
    <row r="40" spans="3:11" ht="17" thickBot="1" x14ac:dyDescent="0.25"/>
    <row r="41" spans="3:11" x14ac:dyDescent="0.2">
      <c r="C41" s="11" t="s">
        <v>52</v>
      </c>
      <c r="D41" s="11" t="s">
        <v>53</v>
      </c>
      <c r="E41" s="11" t="s">
        <v>54</v>
      </c>
    </row>
    <row r="42" spans="3:11" x14ac:dyDescent="0.2">
      <c r="C42" s="4">
        <v>1</v>
      </c>
      <c r="D42" s="4">
        <v>782.70545498401145</v>
      </c>
      <c r="E42" s="4">
        <v>-74.705454984011453</v>
      </c>
    </row>
    <row r="43" spans="3:11" x14ac:dyDescent="0.2">
      <c r="C43" s="4">
        <v>2</v>
      </c>
      <c r="D43" s="4">
        <v>776.50778523815165</v>
      </c>
      <c r="E43" s="4">
        <v>-65.94778523815171</v>
      </c>
    </row>
    <row r="44" spans="3:11" x14ac:dyDescent="0.2">
      <c r="C44" s="4">
        <v>3</v>
      </c>
      <c r="D44" s="4">
        <v>781.66083065924249</v>
      </c>
      <c r="E44" s="4">
        <v>-11.070830659242461</v>
      </c>
    </row>
    <row r="45" spans="3:11" x14ac:dyDescent="0.2">
      <c r="C45" s="4">
        <v>4</v>
      </c>
      <c r="D45" s="4">
        <v>776.40348577358827</v>
      </c>
      <c r="E45" s="4">
        <v>10.326514226411746</v>
      </c>
    </row>
    <row r="46" spans="3:11" x14ac:dyDescent="0.2">
      <c r="C46" s="4">
        <v>5</v>
      </c>
      <c r="D46" s="4">
        <v>768.10352994512027</v>
      </c>
      <c r="E46" s="4">
        <v>41.73647005487976</v>
      </c>
    </row>
    <row r="47" spans="3:11" x14ac:dyDescent="0.2">
      <c r="C47" s="4">
        <v>6</v>
      </c>
      <c r="D47" s="4">
        <v>772.63729729536533</v>
      </c>
      <c r="E47" s="4">
        <v>21.262702704634648</v>
      </c>
    </row>
    <row r="48" spans="3:11" x14ac:dyDescent="0.2">
      <c r="C48" s="4">
        <v>7</v>
      </c>
      <c r="D48" s="4">
        <v>780.59827986400182</v>
      </c>
      <c r="E48" s="4">
        <v>48.351720135998221</v>
      </c>
    </row>
    <row r="49" spans="3:5" x14ac:dyDescent="0.2">
      <c r="C49" s="4">
        <v>8</v>
      </c>
      <c r="D49" s="4">
        <v>772.63729729536533</v>
      </c>
      <c r="E49" s="4">
        <v>31.112702704634671</v>
      </c>
    </row>
    <row r="50" spans="3:5" x14ac:dyDescent="0.2">
      <c r="C50" s="4">
        <v>9</v>
      </c>
      <c r="D50" s="4">
        <v>759.53793641784227</v>
      </c>
      <c r="E50" s="4">
        <v>4.0120635821576798</v>
      </c>
    </row>
    <row r="51" spans="3:5" x14ac:dyDescent="0.2">
      <c r="C51" s="4">
        <v>10</v>
      </c>
      <c r="D51" s="4">
        <v>754.71734554004763</v>
      </c>
      <c r="E51" s="4">
        <v>-22.13734554004759</v>
      </c>
    </row>
    <row r="52" spans="3:5" ht="17" thickBot="1" x14ac:dyDescent="0.25">
      <c r="C52" s="5">
        <v>11</v>
      </c>
      <c r="D52" s="5">
        <v>803.62075698726233</v>
      </c>
      <c r="E52" s="5">
        <v>17.059243012737625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WorkingSheet</vt:lpstr>
      <vt:lpstr>Generation Sent out</vt:lpstr>
      <vt:lpstr>Copper Production</vt:lpstr>
      <vt:lpstr>Mining consumption</vt:lpstr>
      <vt:lpstr>Rainfall</vt:lpstr>
      <vt:lpstr>Regression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2025-11-12T07:15:45Z</dcterms:created>
  <dcterms:modified xsi:type="dcterms:W3CDTF">2025-11-26T08:12:51Z</dcterms:modified>
</cp:coreProperties>
</file>